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7f394ac1e0393/Documents/RS/rac-praktikum/izpit/excel/"/>
    </mc:Choice>
  </mc:AlternateContent>
  <xr:revisionPtr revIDLastSave="52" documentId="8_{F71F7D08-FFD7-454F-A8A6-80C542B8B71F}" xr6:coauthVersionLast="47" xr6:coauthVersionMax="47" xr10:uidLastSave="{06034718-353B-4603-B77B-5DE156DCFFF7}"/>
  <bookViews>
    <workbookView xWindow="-108" yWindow="-108" windowWidth="23256" windowHeight="12456" xr2:uid="{F8D6FEF6-717E-4C46-B871-965238D337B1}"/>
  </bookViews>
  <sheets>
    <sheet name="igre-si" sheetId="2" r:id="rId1"/>
    <sheet name="List1" sheetId="1" r:id="rId2"/>
  </sheets>
  <definedNames>
    <definedName name="ExternalData_1" localSheetId="0" hidden="1">'igre-si'!$A$1:$H$453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7200DD-4A02-4DEA-905F-EF2EBD52760C}" keepAlive="1" name="Poizvedba – igre-si" description="Povezava s poizvedbo »igre-si« v delovnem zvezku." type="5" refreshedVersion="8" background="1" saveData="1">
    <dbPr connection="Provider=Microsoft.Mashup.OleDb.1;Data Source=$Workbook$;Location=igre-si;Extended Properties=&quot;&quot;" command="SELECT * FROM [igre-si]"/>
  </connection>
</connections>
</file>

<file path=xl/sharedStrings.xml><?xml version="1.0" encoding="utf-8"?>
<sst xmlns="http://schemas.openxmlformats.org/spreadsheetml/2006/main" count="926" uniqueCount="473">
  <si>
    <t>Name</t>
  </si>
  <si>
    <t>Year</t>
  </si>
  <si>
    <t>Min Players</t>
  </si>
  <si>
    <t>Max Players</t>
  </si>
  <si>
    <t>Play Time</t>
  </si>
  <si>
    <t>Rating</t>
  </si>
  <si>
    <t>Complexity</t>
  </si>
  <si>
    <t>Category</t>
  </si>
  <si>
    <t>Gloomhaven: Jaws of the Lion</t>
  </si>
  <si>
    <t>Strategy</t>
  </si>
  <si>
    <t>Gloomhaven</t>
  </si>
  <si>
    <t>Kingdom Death: Monster</t>
  </si>
  <si>
    <t>Thematic</t>
  </si>
  <si>
    <t>Brass: Birmingham</t>
  </si>
  <si>
    <t>Pandemic Legacy: Season 1</t>
  </si>
  <si>
    <t>Gaia Project</t>
  </si>
  <si>
    <t>Terraforming Mars</t>
  </si>
  <si>
    <t>Star Wars: Rebellion</t>
  </si>
  <si>
    <t>Nemesis</t>
  </si>
  <si>
    <t>Spirit Island</t>
  </si>
  <si>
    <t>Great Western Trail</t>
  </si>
  <si>
    <t>On Mars</t>
  </si>
  <si>
    <t>Twilight Struggle</t>
  </si>
  <si>
    <t>Maracaibo</t>
  </si>
  <si>
    <t>Scythe</t>
  </si>
  <si>
    <t>A Feast for Odin</t>
  </si>
  <si>
    <t>Lisboa</t>
  </si>
  <si>
    <t>Arkham Horror: The Card Game</t>
  </si>
  <si>
    <t>Customizable</t>
  </si>
  <si>
    <t>Brass: Lancashire</t>
  </si>
  <si>
    <t>Pandemic Legacy: Season 2</t>
  </si>
  <si>
    <t>The 7th Continent</t>
  </si>
  <si>
    <t>Food Chain Magnate</t>
  </si>
  <si>
    <t>Terra Mystica</t>
  </si>
  <si>
    <t>The Castles of Burgundy</t>
  </si>
  <si>
    <t>Underwater Cities</t>
  </si>
  <si>
    <t>Concordia</t>
  </si>
  <si>
    <t>7 Wonders Duel</t>
  </si>
  <si>
    <t>Wingspan</t>
  </si>
  <si>
    <t>Family</t>
  </si>
  <si>
    <t>Mage Knight Board Game</t>
  </si>
  <si>
    <t>Anachrony</t>
  </si>
  <si>
    <t>Root</t>
  </si>
  <si>
    <t>Fields of Arle</t>
  </si>
  <si>
    <t>Orléans</t>
  </si>
  <si>
    <t>Viticulture Essential Edition</t>
  </si>
  <si>
    <t>Everdell</t>
  </si>
  <si>
    <t>Paladins of the West Kingdom</t>
  </si>
  <si>
    <t>Mechs vs. Minions</t>
  </si>
  <si>
    <t>Agricola (Revised Edition)</t>
  </si>
  <si>
    <t>The Isle of Cats</t>
  </si>
  <si>
    <t>The Gallerist</t>
  </si>
  <si>
    <t>Star Wars: Imperial Assault</t>
  </si>
  <si>
    <t>Caverna: The Cave Farmers</t>
  </si>
  <si>
    <t>Aeon's End</t>
  </si>
  <si>
    <t>Clans of Caledonia</t>
  </si>
  <si>
    <t>Blood Rage</t>
  </si>
  <si>
    <t>Puerto Rico</t>
  </si>
  <si>
    <t>Forbidden Stars</t>
  </si>
  <si>
    <t>Teotihuacan: City of Gods</t>
  </si>
  <si>
    <t>Agricola</t>
  </si>
  <si>
    <t>Pandemic: Iberia</t>
  </si>
  <si>
    <t>Crokinole</t>
  </si>
  <si>
    <t>Tzolk'in: The Mayan Calendar</t>
  </si>
  <si>
    <t>Lorenzo il Magnifico</t>
  </si>
  <si>
    <t>Eclipse</t>
  </si>
  <si>
    <t>PARKS</t>
  </si>
  <si>
    <t>Rising Sun</t>
  </si>
  <si>
    <t>Mombasa</t>
  </si>
  <si>
    <t>The Voyages of Marco Polo</t>
  </si>
  <si>
    <t>Star Realms: Colony Wars</t>
  </si>
  <si>
    <t>Android: Netrunner</t>
  </si>
  <si>
    <t>Le Havre</t>
  </si>
  <si>
    <t>Xia: Legends of a Drift System</t>
  </si>
  <si>
    <t>Power Grid</t>
  </si>
  <si>
    <t>Grand Austria Hotel</t>
  </si>
  <si>
    <t>Dominant Species</t>
  </si>
  <si>
    <t>Yokohama</t>
  </si>
  <si>
    <t>Horrified</t>
  </si>
  <si>
    <t>Architects of the West Kingdom</t>
  </si>
  <si>
    <t>Azul: Summer Pavilion</t>
  </si>
  <si>
    <t>Abstract</t>
  </si>
  <si>
    <t>Azul</t>
  </si>
  <si>
    <t>The Quacks of Quedlinburg</t>
  </si>
  <si>
    <t>Eldritch Horror</t>
  </si>
  <si>
    <t>Near and Far</t>
  </si>
  <si>
    <t>Chronicles of Crime</t>
  </si>
  <si>
    <t>Res Arcana</t>
  </si>
  <si>
    <t>Keyflower</t>
  </si>
  <si>
    <t>Inis</t>
  </si>
  <si>
    <t>Raiders of the North Sea</t>
  </si>
  <si>
    <t>Decrypto</t>
  </si>
  <si>
    <t>Party</t>
  </si>
  <si>
    <t>Commands &amp; Colors: Ancients</t>
  </si>
  <si>
    <t>Wargames</t>
  </si>
  <si>
    <t>Five Tribes</t>
  </si>
  <si>
    <t>Champions of Midgard</t>
  </si>
  <si>
    <t>Russian Railroads</t>
  </si>
  <si>
    <t>War of the Ring</t>
  </si>
  <si>
    <t>Caylus</t>
  </si>
  <si>
    <t>Race for the Galaxy</t>
  </si>
  <si>
    <t>Cartographers</t>
  </si>
  <si>
    <t>Trajan</t>
  </si>
  <si>
    <t>Troyes</t>
  </si>
  <si>
    <t>Lords of Waterdeep</t>
  </si>
  <si>
    <t>7 Wonders</t>
  </si>
  <si>
    <t>El Grande</t>
  </si>
  <si>
    <t>Star Wars: Outer Rim</t>
  </si>
  <si>
    <t>Dominion: Intrigue</t>
  </si>
  <si>
    <t>Dinosaur Island</t>
  </si>
  <si>
    <t>Kemet</t>
  </si>
  <si>
    <t>Century: Golem Edition</t>
  </si>
  <si>
    <t>Arcadia Quest</t>
  </si>
  <si>
    <t>Ora et Labora</t>
  </si>
  <si>
    <t>Rajas of the Ganges</t>
  </si>
  <si>
    <t>Tigris &amp; Euphrates</t>
  </si>
  <si>
    <t>Railways of the World</t>
  </si>
  <si>
    <t>Coimbra</t>
  </si>
  <si>
    <t>Zombicide: Black Plague</t>
  </si>
  <si>
    <t>Chaos in the Old World</t>
  </si>
  <si>
    <t>Roll for the Galaxy</t>
  </si>
  <si>
    <t>Alchemists</t>
  </si>
  <si>
    <t>La Granja</t>
  </si>
  <si>
    <t>Western Legends</t>
  </si>
  <si>
    <t>Patchwork</t>
  </si>
  <si>
    <t>Dead of Winter: The Long Night</t>
  </si>
  <si>
    <t>Hansa Teutonica</t>
  </si>
  <si>
    <t>That's Pretty Clever!</t>
  </si>
  <si>
    <t>Mage Wars Arena</t>
  </si>
  <si>
    <t>Nations</t>
  </si>
  <si>
    <t>Targi</t>
  </si>
  <si>
    <t>Go</t>
  </si>
  <si>
    <t>The Taverns of Tiefenthal</t>
  </si>
  <si>
    <t>Runewars</t>
  </si>
  <si>
    <t>Evolution: Climate</t>
  </si>
  <si>
    <t>Codenames</t>
  </si>
  <si>
    <t>Dominion</t>
  </si>
  <si>
    <t>The Quest for El Dorado</t>
  </si>
  <si>
    <t>Welcome To...</t>
  </si>
  <si>
    <t>Pandemic</t>
  </si>
  <si>
    <t>Hero Realms</t>
  </si>
  <si>
    <t>Just One</t>
  </si>
  <si>
    <t>Space Base</t>
  </si>
  <si>
    <t>Steam</t>
  </si>
  <si>
    <t>The Resistance: Avalon</t>
  </si>
  <si>
    <t>Star Realms</t>
  </si>
  <si>
    <t>Istanbul</t>
  </si>
  <si>
    <t>Tichu</t>
  </si>
  <si>
    <t>Goa</t>
  </si>
  <si>
    <t>Codenames: Duet</t>
  </si>
  <si>
    <t>Stuffed Fables</t>
  </si>
  <si>
    <t>Captain Sonar</t>
  </si>
  <si>
    <t>Secret Hitler</t>
  </si>
  <si>
    <t>Stone Age</t>
  </si>
  <si>
    <t>Castles of Mad King Ludwig</t>
  </si>
  <si>
    <t>Flamme Rouge</t>
  </si>
  <si>
    <t>Memoir '44</t>
  </si>
  <si>
    <t>Bora Bora</t>
  </si>
  <si>
    <t>Ticket to Ride: Europe</t>
  </si>
  <si>
    <t>T.I.M.E Stories</t>
  </si>
  <si>
    <t>Cosmic Encounter</t>
  </si>
  <si>
    <t>Burgle Bros.</t>
  </si>
  <si>
    <t>Hanamikoji</t>
  </si>
  <si>
    <t>Shogun</t>
  </si>
  <si>
    <t>The Princes of Florence</t>
  </si>
  <si>
    <t>Roll Player</t>
  </si>
  <si>
    <t>Sagrada</t>
  </si>
  <si>
    <t>Village</t>
  </si>
  <si>
    <t>Summoner Wars: Master Set</t>
  </si>
  <si>
    <t>Magic: The Gathering</t>
  </si>
  <si>
    <t>Cyclades</t>
  </si>
  <si>
    <t>Suburbia</t>
  </si>
  <si>
    <t>Cryptid</t>
  </si>
  <si>
    <t>Jaipur</t>
  </si>
  <si>
    <t>Deception: Murder in Hong Kong</t>
  </si>
  <si>
    <t>Civilization</t>
  </si>
  <si>
    <t>Lewis &amp; Clark: The Expedition</t>
  </si>
  <si>
    <t>Glory to Rome</t>
  </si>
  <si>
    <t>Tapestry</t>
  </si>
  <si>
    <t>Santorini</t>
  </si>
  <si>
    <t>Ethnos</t>
  </si>
  <si>
    <t>Dungeon Petz</t>
  </si>
  <si>
    <t>Ra</t>
  </si>
  <si>
    <t>Harry Potter: Hogwarts Battle</t>
  </si>
  <si>
    <t>Sushi Go Party!</t>
  </si>
  <si>
    <t>Bunny Kingdom</t>
  </si>
  <si>
    <t>Dixit: Odyssey</t>
  </si>
  <si>
    <t>Glass Road</t>
  </si>
  <si>
    <t>Splendor</t>
  </si>
  <si>
    <t>Samurai</t>
  </si>
  <si>
    <t>Gizmos</t>
  </si>
  <si>
    <t>Space Alert</t>
  </si>
  <si>
    <t>Above and Below</t>
  </si>
  <si>
    <t>Bruges</t>
  </si>
  <si>
    <t>Azul: Stained Glass of Sintra</t>
  </si>
  <si>
    <t>Ticket to Ride</t>
  </si>
  <si>
    <t>Battle Line</t>
  </si>
  <si>
    <t>Carcassonne</t>
  </si>
  <si>
    <t>Risk Legacy</t>
  </si>
  <si>
    <t>Ticket to Ride: Märklin</t>
  </si>
  <si>
    <t>Merchants &amp; Marauders</t>
  </si>
  <si>
    <t>Imperial Settlers</t>
  </si>
  <si>
    <t>Alien Frontiers</t>
  </si>
  <si>
    <t>Galaxy Trucker</t>
  </si>
  <si>
    <t>Seasons</t>
  </si>
  <si>
    <t>Pandemic: Reign of Cthulhu</t>
  </si>
  <si>
    <t>Letters from Whitechapel</t>
  </si>
  <si>
    <t>Neuroshima Hex! 3.0</t>
  </si>
  <si>
    <t>Telestrations</t>
  </si>
  <si>
    <t>Modern Art</t>
  </si>
  <si>
    <t>Onitama</t>
  </si>
  <si>
    <t>Firefly: The Game</t>
  </si>
  <si>
    <t>Dungeon Lords</t>
  </si>
  <si>
    <t>Arboretum</t>
  </si>
  <si>
    <t>At the Gates of Loyang</t>
  </si>
  <si>
    <t>Charterstone</t>
  </si>
  <si>
    <t>Century: Spice Road</t>
  </si>
  <si>
    <t>Tiny Epic Galaxies</t>
  </si>
  <si>
    <t>The Manhattan Project</t>
  </si>
  <si>
    <t>BattleLore</t>
  </si>
  <si>
    <t>Tiny Towns</t>
  </si>
  <si>
    <t>Bärenpark</t>
  </si>
  <si>
    <t>Downforce</t>
  </si>
  <si>
    <t>Kingdomino</t>
  </si>
  <si>
    <t>Notre Dame</t>
  </si>
  <si>
    <t>Acquire</t>
  </si>
  <si>
    <t>Tikal</t>
  </si>
  <si>
    <t>Point Salad</t>
  </si>
  <si>
    <t>Chinatown</t>
  </si>
  <si>
    <t>Raptor</t>
  </si>
  <si>
    <t>Abyss</t>
  </si>
  <si>
    <t>Ghost Stories</t>
  </si>
  <si>
    <t>Hive</t>
  </si>
  <si>
    <t>Survive: Escape from Atlantis!</t>
  </si>
  <si>
    <t>Schotten Totten</t>
  </si>
  <si>
    <t>Citadels</t>
  </si>
  <si>
    <t>Descent: Journeys in the Dark</t>
  </si>
  <si>
    <t>Pandemic: The Cure</t>
  </si>
  <si>
    <t>Mice and Mystics</t>
  </si>
  <si>
    <t>Saint Petersburg</t>
  </si>
  <si>
    <t>Mystic Vale</t>
  </si>
  <si>
    <t>Mysterium</t>
  </si>
  <si>
    <t>The Pillars of the Earth</t>
  </si>
  <si>
    <t>Mansions of Madness</t>
  </si>
  <si>
    <t>Quadropolis</t>
  </si>
  <si>
    <t>Dice Forge</t>
  </si>
  <si>
    <t>Fresco</t>
  </si>
  <si>
    <t>KeyForge: Call of the Archons</t>
  </si>
  <si>
    <t>The Resistance</t>
  </si>
  <si>
    <t>AquaSphere</t>
  </si>
  <si>
    <t>Small World Underground</t>
  </si>
  <si>
    <t>Takenoko</t>
  </si>
  <si>
    <t>Codenames: Pictures</t>
  </si>
  <si>
    <t>Arkham Horror</t>
  </si>
  <si>
    <t>Queendomino</t>
  </si>
  <si>
    <t>Small World</t>
  </si>
  <si>
    <t>Dixit</t>
  </si>
  <si>
    <t>Smash Up: Awesome Level 9000</t>
  </si>
  <si>
    <t>The Fox in the Forest</t>
  </si>
  <si>
    <t>Innovation</t>
  </si>
  <si>
    <t>PitchCar</t>
  </si>
  <si>
    <t>San Juan</t>
  </si>
  <si>
    <t>Discworld: Ankh-Morpork</t>
  </si>
  <si>
    <t>Love Letter</t>
  </si>
  <si>
    <t>Elysium</t>
  </si>
  <si>
    <t>Sentinels of the Multiverse</t>
  </si>
  <si>
    <t>Century: Eastern Wonders</t>
  </si>
  <si>
    <t>Nexus Ops</t>
  </si>
  <si>
    <t>For Sale</t>
  </si>
  <si>
    <t>Legends of Andor</t>
  </si>
  <si>
    <t>Karuba</t>
  </si>
  <si>
    <t>Skull</t>
  </si>
  <si>
    <t>Tales of the Arabian Nights</t>
  </si>
  <si>
    <t>Flash Point: Fire Rescue</t>
  </si>
  <si>
    <t>The Grizzled</t>
  </si>
  <si>
    <t>Imhotep</t>
  </si>
  <si>
    <t>Star Wars: The Card Game</t>
  </si>
  <si>
    <t>Caverna: Cave vs Cave</t>
  </si>
  <si>
    <t>Broom Service</t>
  </si>
  <si>
    <t>Kingsburg</t>
  </si>
  <si>
    <t>Last Will</t>
  </si>
  <si>
    <t>Biblios</t>
  </si>
  <si>
    <t>King of Tokyo</t>
  </si>
  <si>
    <t>Lost Cities</t>
  </si>
  <si>
    <t>Paperback</t>
  </si>
  <si>
    <t>Vast: The Crystal Caverns</t>
  </si>
  <si>
    <t>Libertalia</t>
  </si>
  <si>
    <t>Zombicide</t>
  </si>
  <si>
    <t>Potion Explosion</t>
  </si>
  <si>
    <t>Catan</t>
  </si>
  <si>
    <t>One Night Ultimate Werewolf</t>
  </si>
  <si>
    <t>Sheriff of Nottingham</t>
  </si>
  <si>
    <t>Forbidden Desert</t>
  </si>
  <si>
    <t>Port Royal</t>
  </si>
  <si>
    <t>HeroQuest</t>
  </si>
  <si>
    <t>Friday</t>
  </si>
  <si>
    <t>Thebes</t>
  </si>
  <si>
    <t>Photosynthesis</t>
  </si>
  <si>
    <t>Evolution</t>
  </si>
  <si>
    <t>Las Vegas</t>
  </si>
  <si>
    <t>Chess</t>
  </si>
  <si>
    <t>Shadows over Camelot</t>
  </si>
  <si>
    <t>Colt Express</t>
  </si>
  <si>
    <t>Ingenious</t>
  </si>
  <si>
    <t>Torres</t>
  </si>
  <si>
    <t>Tobago</t>
  </si>
  <si>
    <t>Carcassonne: The Castle</t>
  </si>
  <si>
    <t>Thurn and Taxis</t>
  </si>
  <si>
    <t>Kanagawa</t>
  </si>
  <si>
    <t>Cacao</t>
  </si>
  <si>
    <t>Onirim (Second Edition)</t>
  </si>
  <si>
    <t>RoboRally</t>
  </si>
  <si>
    <t>Hanabi</t>
  </si>
  <si>
    <t>Through the Desert</t>
  </si>
  <si>
    <t>One Deck Dungeon</t>
  </si>
  <si>
    <t>Betrayal at House on the Hill</t>
  </si>
  <si>
    <t>XCOM: The Board Game</t>
  </si>
  <si>
    <t>Disney Villainous</t>
  </si>
  <si>
    <t>Tiny Epic Quest</t>
  </si>
  <si>
    <t>Jamaica</t>
  </si>
  <si>
    <t>FUSE</t>
  </si>
  <si>
    <t>DC Comics Deck-Building Game</t>
  </si>
  <si>
    <t>5-Minute Dungeon</t>
  </si>
  <si>
    <t>Eminent Domain</t>
  </si>
  <si>
    <t>High Society</t>
  </si>
  <si>
    <t>Magic Maze</t>
  </si>
  <si>
    <t>No Thanks!</t>
  </si>
  <si>
    <t>Sushi Go!</t>
  </si>
  <si>
    <t>Camel Up</t>
  </si>
  <si>
    <t>Cribbage</t>
  </si>
  <si>
    <t>Diplomacy</t>
  </si>
  <si>
    <t>Bohnanza</t>
  </si>
  <si>
    <t>Ascension: Deckbuilding Game</t>
  </si>
  <si>
    <t>Between Two Cities</t>
  </si>
  <si>
    <t>Tiny Epic Zombies</t>
  </si>
  <si>
    <t>Mint Works</t>
  </si>
  <si>
    <t>Alhambra</t>
  </si>
  <si>
    <t>Formula D</t>
  </si>
  <si>
    <t>Not Alone</t>
  </si>
  <si>
    <t>Oh My Goods!</t>
  </si>
  <si>
    <t>Mr. Jack</t>
  </si>
  <si>
    <t>Coup</t>
  </si>
  <si>
    <t>Morels</t>
  </si>
  <si>
    <t>Deep Sea Adventure</t>
  </si>
  <si>
    <t>Tokaido</t>
  </si>
  <si>
    <t>Rivals for Catan</t>
  </si>
  <si>
    <t>Elder Sign</t>
  </si>
  <si>
    <t>Celestia</t>
  </si>
  <si>
    <t>Coloretto</t>
  </si>
  <si>
    <t>King of New York</t>
  </si>
  <si>
    <t>Kingdom Builder</t>
  </si>
  <si>
    <t>BANG! The Dice Game</t>
  </si>
  <si>
    <t>Flick 'em Up!</t>
  </si>
  <si>
    <t>Fog of Love</t>
  </si>
  <si>
    <t>Rhino Hero</t>
  </si>
  <si>
    <t>Children's</t>
  </si>
  <si>
    <t>Thunderstone</t>
  </si>
  <si>
    <t>Fallout</t>
  </si>
  <si>
    <t>Wits &amp; Wagers</t>
  </si>
  <si>
    <t>Wizard</t>
  </si>
  <si>
    <t>Lanterns: The Harvest Festival</t>
  </si>
  <si>
    <t>6 nimmt!</t>
  </si>
  <si>
    <t>Red7</t>
  </si>
  <si>
    <t>Cottage Garden</t>
  </si>
  <si>
    <t>The Mind</t>
  </si>
  <si>
    <t>Mr. Jack Pocket</t>
  </si>
  <si>
    <t>Perudo</t>
  </si>
  <si>
    <t>Ca$h 'n Guns (Second Edition)</t>
  </si>
  <si>
    <t>Runebound: Second Edition</t>
  </si>
  <si>
    <t>Spyfall</t>
  </si>
  <si>
    <t>Blokus</t>
  </si>
  <si>
    <t>Qwixx</t>
  </si>
  <si>
    <t>Terror in Meeple City</t>
  </si>
  <si>
    <t>Can't Stop</t>
  </si>
  <si>
    <t>Condottiere</t>
  </si>
  <si>
    <t>Zooloretto</t>
  </si>
  <si>
    <t>ICECOOL</t>
  </si>
  <si>
    <t>Animal Upon Animal</t>
  </si>
  <si>
    <t>Concept</t>
  </si>
  <si>
    <t>Diamant</t>
  </si>
  <si>
    <t>Forbidden Island</t>
  </si>
  <si>
    <t>Loopin' Louie</t>
  </si>
  <si>
    <t>Qwirkle</t>
  </si>
  <si>
    <t>Quarriors!</t>
  </si>
  <si>
    <t>The Lord of the Rings</t>
  </si>
  <si>
    <t>Smash Up</t>
  </si>
  <si>
    <t>Fairy Tale</t>
  </si>
  <si>
    <t>Catan Card Game</t>
  </si>
  <si>
    <t>Timeline: Inventions</t>
  </si>
  <si>
    <t>Cockroach Poker</t>
  </si>
  <si>
    <t>Ghost Blitz</t>
  </si>
  <si>
    <t>The Game</t>
  </si>
  <si>
    <t>Hey, That's My Fish!</t>
  </si>
  <si>
    <t>Risk 2210 A.D.</t>
  </si>
  <si>
    <t>Tiny Epic Western</t>
  </si>
  <si>
    <t>Tsuro</t>
  </si>
  <si>
    <t>Tides of Time</t>
  </si>
  <si>
    <t>Castle Panic</t>
  </si>
  <si>
    <t>Machi Koro</t>
  </si>
  <si>
    <t>Spot it!</t>
  </si>
  <si>
    <t>Kahuna</t>
  </si>
  <si>
    <t>Mascarade</t>
  </si>
  <si>
    <t>Welcome to the Dungeon</t>
  </si>
  <si>
    <t>Tiny Epic Kingdoms</t>
  </si>
  <si>
    <t>Saboteur</t>
  </si>
  <si>
    <t>Pirate's Cove</t>
  </si>
  <si>
    <t>The Red Dragon Inn</t>
  </si>
  <si>
    <t>The Great Dalmuti</t>
  </si>
  <si>
    <t>Axis &amp; Allies</t>
  </si>
  <si>
    <t>Pickomino</t>
  </si>
  <si>
    <t>Tsuro of the Seas</t>
  </si>
  <si>
    <t>Backgammon</t>
  </si>
  <si>
    <t>Guillotine</t>
  </si>
  <si>
    <t>Talisman (Revised 4th Edition)</t>
  </si>
  <si>
    <t>Scotland Yard</t>
  </si>
  <si>
    <t>BANG!</t>
  </si>
  <si>
    <t>Jungle Speed</t>
  </si>
  <si>
    <t>SET</t>
  </si>
  <si>
    <t>Epic Card Game</t>
  </si>
  <si>
    <t>Joking Hazard</t>
  </si>
  <si>
    <t>Labyrinth</t>
  </si>
  <si>
    <t>Pit</t>
  </si>
  <si>
    <t>Rummikub</t>
  </si>
  <si>
    <t>Bananagrams</t>
  </si>
  <si>
    <t>Star Fluxx</t>
  </si>
  <si>
    <t>Gloom</t>
  </si>
  <si>
    <t>Unstable Unicorns</t>
  </si>
  <si>
    <t>Red November</t>
  </si>
  <si>
    <t>Loot</t>
  </si>
  <si>
    <t>Monopoly Deal Card Game</t>
  </si>
  <si>
    <t>Taboo</t>
  </si>
  <si>
    <t>Scrabble</t>
  </si>
  <si>
    <t>Exploding Kittens: NSFW Deck</t>
  </si>
  <si>
    <t>Zombie Dice</t>
  </si>
  <si>
    <t>Boggle</t>
  </si>
  <si>
    <t>Munchkin Cthulhu</t>
  </si>
  <si>
    <t>Scattergories</t>
  </si>
  <si>
    <t>Kill Doctor Lucky</t>
  </si>
  <si>
    <t>Get Bit!</t>
  </si>
  <si>
    <t>Dungeon Roll</t>
  </si>
  <si>
    <t>Othello</t>
  </si>
  <si>
    <t>Stratego</t>
  </si>
  <si>
    <t>Monty Python Fluxx</t>
  </si>
  <si>
    <t>Exploding Kittens</t>
  </si>
  <si>
    <t>Sequence</t>
  </si>
  <si>
    <t>Zombie Fluxx</t>
  </si>
  <si>
    <t>Kalah</t>
  </si>
  <si>
    <t>Cards Against Humanity</t>
  </si>
  <si>
    <t>Munchkin</t>
  </si>
  <si>
    <t>Pictionary</t>
  </si>
  <si>
    <t>Apples to Apples</t>
  </si>
  <si>
    <t>Zombies!!!</t>
  </si>
  <si>
    <t>Catan Dice Game</t>
  </si>
  <si>
    <t>Mille Bornes</t>
  </si>
  <si>
    <t>Cranium</t>
  </si>
  <si>
    <t>Fluxx</t>
  </si>
  <si>
    <t>Clue</t>
  </si>
  <si>
    <t>Jenga</t>
  </si>
  <si>
    <t>Risk</t>
  </si>
  <si>
    <t>Dominoes</t>
  </si>
  <si>
    <t>Skip-Bo</t>
  </si>
  <si>
    <t>UNO</t>
  </si>
  <si>
    <t>Yahtzee</t>
  </si>
  <si>
    <t>Phase 10</t>
  </si>
  <si>
    <t>Battleship</t>
  </si>
  <si>
    <t>Monopoly</t>
  </si>
  <si>
    <t>The Game of Life</t>
  </si>
  <si>
    <t>Density</t>
  </si>
  <si>
    <t>Oznake vrstic</t>
  </si>
  <si>
    <t>Skupna vsota</t>
  </si>
  <si>
    <t>Povprečje od Play Time</t>
  </si>
  <si>
    <t>Štetje od Name</t>
  </si>
  <si>
    <t>Povprečje od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</si>
</sst>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6">
    <dxf>
      <fill>
        <patternFill>
          <bgColor rgb="FFFFFF00"/>
        </patternFill>
      </fill>
    </dxf>
    <dxf>
      <numFmt numFmtId="1" formatCode="0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a Pervinšek" refreshedDate="46063.481109837965" createdVersion="8" refreshedVersion="8" minRefreshableVersion="3" recordCount="452" xr:uid="{CDBE4FCD-67F5-4567-925D-7918F90B758F}">
  <cacheSource type="worksheet">
    <worksheetSource name="igre_si"/>
  </cacheSource>
  <cacheFields count="9">
    <cacheField name="Name" numFmtId="0">
      <sharedItems/>
    </cacheField>
    <cacheField name="Year" numFmtId="0">
      <sharedItems containsSemiMixedTypes="0" containsString="0" containsNumber="1" containsInteger="1" minValue="-3000" maxValue="2020"/>
    </cacheField>
    <cacheField name="Min Players" numFmtId="0">
      <sharedItems containsSemiMixedTypes="0" containsString="0" containsNumber="1" containsInteger="1" minValue="1" maxValue="5"/>
    </cacheField>
    <cacheField name="Max Players" numFmtId="0">
      <sharedItems containsSemiMixedTypes="0" containsString="0" containsNumber="1" containsInteger="1" minValue="1" maxValue="100"/>
    </cacheField>
    <cacheField name="Play Time" numFmtId="0">
      <sharedItems containsSemiMixedTypes="0" containsString="0" containsNumber="1" containsInteger="1" minValue="10" maxValue="1000" count="24">
        <n v="30"/>
        <n v="45"/>
        <n v="120"/>
        <n v="90"/>
        <n v="60"/>
        <n v="150"/>
        <n v="15"/>
        <n v="100"/>
        <n v="80"/>
        <n v="240"/>
        <n v="180"/>
        <n v="40"/>
        <n v="25"/>
        <n v="20"/>
        <n v="10"/>
        <n v="75"/>
        <n v="210"/>
        <n v="360"/>
        <n v="50"/>
        <n v="42"/>
        <n v="200"/>
        <n v="115"/>
        <n v="1000"/>
        <n v="70"/>
      </sharedItems>
    </cacheField>
    <cacheField name="Rating" numFmtId="0">
      <sharedItems containsSemiMixedTypes="0" containsString="0" containsNumber="1" minValue="4.3" maxValue="8.8699999999999992"/>
    </cacheField>
    <cacheField name="Complexity" numFmtId="0">
      <sharedItems containsSemiMixedTypes="0" containsString="0" containsNumber="1" minValue="1.02" maxValue="4.63"/>
    </cacheField>
    <cacheField name="Category" numFmtId="0">
      <sharedItems count="8">
        <s v="Family"/>
        <s v="Strategy"/>
        <s v="Thematic"/>
        <s v="Customizable"/>
        <s v="Children's"/>
        <s v="Party"/>
        <s v="Wargames"/>
        <s v="Abstract"/>
      </sharedItems>
    </cacheField>
    <cacheField name="Dens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s v="5-Minute Dungeon"/>
    <n v="2017"/>
    <n v="2"/>
    <n v="5"/>
    <x v="0"/>
    <n v="7.05"/>
    <n v="1.1200000000000001"/>
    <x v="0"/>
    <m/>
  </r>
  <r>
    <s v="6 nimmt!"/>
    <n v="1994"/>
    <n v="2"/>
    <n v="10"/>
    <x v="1"/>
    <n v="6.92"/>
    <n v="1.21"/>
    <x v="0"/>
    <e v="#VALUE!"/>
  </r>
  <r>
    <s v="7 Wonders"/>
    <n v="2010"/>
    <n v="2"/>
    <n v="7"/>
    <x v="0"/>
    <n v="7.75"/>
    <n v="2.33"/>
    <x v="0"/>
    <e v="#VALUE!"/>
  </r>
  <r>
    <s v="7 Wonders Duel"/>
    <n v="2015"/>
    <n v="2"/>
    <n v="2"/>
    <x v="0"/>
    <n v="8.11"/>
    <n v="2.23"/>
    <x v="1"/>
    <e v="#VALUE!"/>
  </r>
  <r>
    <s v="A Feast for Odin"/>
    <n v="2016"/>
    <n v="1"/>
    <n v="4"/>
    <x v="2"/>
    <n v="8.1999999999999993"/>
    <n v="3.84"/>
    <x v="1"/>
    <e v="#VALUE!"/>
  </r>
  <r>
    <s v="Above and Below"/>
    <n v="2015"/>
    <n v="2"/>
    <n v="4"/>
    <x v="3"/>
    <n v="7.43"/>
    <n v="2.5299999999999998"/>
    <x v="2"/>
    <e v="#VALUE!"/>
  </r>
  <r>
    <s v="Abyss"/>
    <n v="2014"/>
    <n v="2"/>
    <n v="4"/>
    <x v="4"/>
    <n v="7.33"/>
    <n v="2.3199999999999998"/>
    <x v="1"/>
    <e v="#VALUE!"/>
  </r>
  <r>
    <s v="Acquire"/>
    <n v="1964"/>
    <n v="2"/>
    <n v="6"/>
    <x v="3"/>
    <n v="7.34"/>
    <n v="2.5"/>
    <x v="1"/>
    <e v="#VALUE!"/>
  </r>
  <r>
    <s v="Aeon's End"/>
    <n v="2016"/>
    <n v="1"/>
    <n v="4"/>
    <x v="4"/>
    <n v="8.02"/>
    <n v="2.76"/>
    <x v="1"/>
    <e v="#VALUE!"/>
  </r>
  <r>
    <s v="Agricola"/>
    <n v="2007"/>
    <n v="1"/>
    <n v="5"/>
    <x v="5"/>
    <n v="7.94"/>
    <n v="3.64"/>
    <x v="1"/>
    <e v="#VALUE!"/>
  </r>
  <r>
    <s v="Agricola (Revised Edition)"/>
    <n v="2016"/>
    <n v="1"/>
    <n v="4"/>
    <x v="2"/>
    <n v="8.0399999999999991"/>
    <n v="3.5"/>
    <x v="1"/>
    <e v="#VALUE!"/>
  </r>
  <r>
    <s v="Alchemists"/>
    <n v="2014"/>
    <n v="2"/>
    <n v="4"/>
    <x v="2"/>
    <n v="7.67"/>
    <n v="3.9"/>
    <x v="1"/>
    <e v="#VALUE!"/>
  </r>
  <r>
    <s v="Alhambra"/>
    <n v="2003"/>
    <n v="2"/>
    <n v="6"/>
    <x v="4"/>
    <n v="7.03"/>
    <n v="2.1"/>
    <x v="0"/>
    <e v="#VALUE!"/>
  </r>
  <r>
    <s v="Alien Frontiers"/>
    <n v="2010"/>
    <n v="2"/>
    <n v="4"/>
    <x v="3"/>
    <n v="7.41"/>
    <n v="2.57"/>
    <x v="1"/>
    <e v="#VALUE!"/>
  </r>
  <r>
    <s v="Anachrony"/>
    <n v="2017"/>
    <n v="1"/>
    <n v="4"/>
    <x v="2"/>
    <n v="8.1"/>
    <n v="4"/>
    <x v="1"/>
    <e v="#VALUE!"/>
  </r>
  <r>
    <s v="Android: Netrunner"/>
    <n v="2012"/>
    <n v="2"/>
    <n v="2"/>
    <x v="1"/>
    <n v="7.87"/>
    <n v="3.38"/>
    <x v="3"/>
    <e v="#VALUE!"/>
  </r>
  <r>
    <s v="Animal Upon Animal"/>
    <n v="2005"/>
    <n v="2"/>
    <n v="4"/>
    <x v="6"/>
    <n v="6.82"/>
    <n v="1.05"/>
    <x v="4"/>
    <e v="#VALUE!"/>
  </r>
  <r>
    <s v="Apples to Apples"/>
    <n v="1999"/>
    <n v="4"/>
    <n v="10"/>
    <x v="0"/>
    <n v="5.81"/>
    <n v="1.1599999999999999"/>
    <x v="5"/>
    <e v="#VALUE!"/>
  </r>
  <r>
    <s v="AquaSphere"/>
    <n v="2014"/>
    <n v="2"/>
    <n v="4"/>
    <x v="7"/>
    <n v="7.28"/>
    <n v="3.69"/>
    <x v="1"/>
    <e v="#VALUE!"/>
  </r>
  <r>
    <s v="Arboretum"/>
    <n v="2015"/>
    <n v="2"/>
    <n v="4"/>
    <x v="0"/>
    <n v="7.39"/>
    <n v="2.16"/>
    <x v="0"/>
    <e v="#VALUE!"/>
  </r>
  <r>
    <s v="Arcadia Quest"/>
    <n v="2014"/>
    <n v="2"/>
    <n v="4"/>
    <x v="4"/>
    <n v="7.71"/>
    <n v="2.5299999999999998"/>
    <x v="2"/>
    <e v="#VALUE!"/>
  </r>
  <r>
    <s v="Architects of the West Kingdom"/>
    <n v="2018"/>
    <n v="1"/>
    <n v="5"/>
    <x v="8"/>
    <n v="7.83"/>
    <n v="2.77"/>
    <x v="1"/>
    <e v="#VALUE!"/>
  </r>
  <r>
    <s v="Arkham Horror"/>
    <n v="2005"/>
    <n v="1"/>
    <n v="8"/>
    <x v="9"/>
    <n v="7.26"/>
    <n v="3.58"/>
    <x v="2"/>
    <e v="#VALUE!"/>
  </r>
  <r>
    <s v="Arkham Horror: The Card Game"/>
    <n v="2016"/>
    <n v="1"/>
    <n v="2"/>
    <x v="2"/>
    <n v="8.17"/>
    <n v="3.44"/>
    <x v="3"/>
    <e v="#VALUE!"/>
  </r>
  <r>
    <s v="Ascension: Deckbuilding Game"/>
    <n v="2010"/>
    <n v="1"/>
    <n v="4"/>
    <x v="0"/>
    <n v="7.03"/>
    <n v="2.15"/>
    <x v="1"/>
    <e v="#VALUE!"/>
  </r>
  <r>
    <s v="At the Gates of Loyang"/>
    <n v="2009"/>
    <n v="1"/>
    <n v="4"/>
    <x v="2"/>
    <n v="7.38"/>
    <n v="3.13"/>
    <x v="1"/>
    <e v="#VALUE!"/>
  </r>
  <r>
    <s v="Axis &amp; Allies"/>
    <n v="1981"/>
    <n v="2"/>
    <n v="5"/>
    <x v="10"/>
    <n v="6.56"/>
    <n v="3.04"/>
    <x v="6"/>
    <e v="#VALUE!"/>
  </r>
  <r>
    <s v="Azul"/>
    <n v="2017"/>
    <n v="2"/>
    <n v="4"/>
    <x v="1"/>
    <n v="7.83"/>
    <n v="1.77"/>
    <x v="7"/>
    <e v="#VALUE!"/>
  </r>
  <r>
    <s v="Azul: Stained Glass of Sintra"/>
    <n v="2018"/>
    <n v="2"/>
    <n v="4"/>
    <x v="1"/>
    <n v="7.42"/>
    <n v="1.98"/>
    <x v="0"/>
    <e v="#VALUE!"/>
  </r>
  <r>
    <s v="Azul: Summer Pavilion"/>
    <n v="2019"/>
    <n v="2"/>
    <n v="4"/>
    <x v="1"/>
    <n v="7.83"/>
    <n v="2.0499999999999998"/>
    <x v="7"/>
    <e v="#VALUE!"/>
  </r>
  <r>
    <s v="Backgammon"/>
    <n v="-3000"/>
    <n v="2"/>
    <n v="2"/>
    <x v="0"/>
    <n v="6.54"/>
    <n v="2.02"/>
    <x v="7"/>
    <e v="#VALUE!"/>
  </r>
  <r>
    <s v="Bananagrams"/>
    <n v="2006"/>
    <n v="1"/>
    <n v="8"/>
    <x v="6"/>
    <n v="6.36"/>
    <n v="1.33"/>
    <x v="0"/>
    <e v="#VALUE!"/>
  </r>
  <r>
    <s v="BANG!"/>
    <n v="2002"/>
    <n v="4"/>
    <n v="7"/>
    <x v="11"/>
    <n v="6.51"/>
    <n v="1.64"/>
    <x v="5"/>
    <e v="#VALUE!"/>
  </r>
  <r>
    <s v="BANG! The Dice Game"/>
    <n v="2013"/>
    <n v="3"/>
    <n v="8"/>
    <x v="6"/>
    <n v="6.95"/>
    <n v="1.27"/>
    <x v="5"/>
    <e v="#VALUE!"/>
  </r>
  <r>
    <s v="Bärenpark"/>
    <n v="2017"/>
    <n v="2"/>
    <n v="4"/>
    <x v="1"/>
    <n v="7.36"/>
    <n v="1.64"/>
    <x v="0"/>
    <e v="#VALUE!"/>
  </r>
  <r>
    <s v="Battle Line"/>
    <n v="2000"/>
    <n v="2"/>
    <n v="2"/>
    <x v="0"/>
    <n v="7.42"/>
    <n v="1.9"/>
    <x v="1"/>
    <e v="#VALUE!"/>
  </r>
  <r>
    <s v="BattleLore"/>
    <n v="2006"/>
    <n v="2"/>
    <n v="2"/>
    <x v="4"/>
    <n v="7.36"/>
    <n v="2.76"/>
    <x v="2"/>
    <e v="#VALUE!"/>
  </r>
  <r>
    <s v="Battleship"/>
    <n v="1931"/>
    <n v="2"/>
    <n v="2"/>
    <x v="0"/>
    <n v="4.6500000000000004"/>
    <n v="1.22"/>
    <x v="4"/>
    <e v="#VALUE!"/>
  </r>
  <r>
    <s v="Betrayal at House on the Hill"/>
    <n v="2004"/>
    <n v="3"/>
    <n v="6"/>
    <x v="4"/>
    <n v="7.06"/>
    <n v="2.39"/>
    <x v="2"/>
    <e v="#VALUE!"/>
  </r>
  <r>
    <s v="Between Two Cities"/>
    <n v="2015"/>
    <n v="1"/>
    <n v="7"/>
    <x v="12"/>
    <n v="7.03"/>
    <n v="1.82"/>
    <x v="0"/>
    <e v="#VALUE!"/>
  </r>
  <r>
    <s v="Biblios"/>
    <n v="2007"/>
    <n v="2"/>
    <n v="4"/>
    <x v="0"/>
    <n v="7.19"/>
    <n v="1.68"/>
    <x v="0"/>
    <e v="#VALUE!"/>
  </r>
  <r>
    <s v="Blokus"/>
    <n v="2000"/>
    <n v="2"/>
    <n v="4"/>
    <x v="13"/>
    <n v="6.88"/>
    <n v="1.77"/>
    <x v="7"/>
    <e v="#VALUE!"/>
  </r>
  <r>
    <s v="Blood Rage"/>
    <n v="2015"/>
    <n v="2"/>
    <n v="4"/>
    <x v="3"/>
    <n v="8"/>
    <n v="2.88"/>
    <x v="1"/>
    <e v="#VALUE!"/>
  </r>
  <r>
    <s v="Boggle"/>
    <n v="1972"/>
    <n v="1"/>
    <n v="8"/>
    <x v="14"/>
    <n v="6.21"/>
    <n v="1.49"/>
    <x v="0"/>
    <e v="#VALUE!"/>
  </r>
  <r>
    <s v="Bohnanza"/>
    <n v="1997"/>
    <n v="2"/>
    <n v="7"/>
    <x v="1"/>
    <n v="7.04"/>
    <n v="1.67"/>
    <x v="0"/>
    <e v="#VALUE!"/>
  </r>
  <r>
    <s v="Bora Bora"/>
    <n v="2013"/>
    <n v="2"/>
    <n v="4"/>
    <x v="2"/>
    <n v="7.56"/>
    <n v="3.74"/>
    <x v="1"/>
    <e v="#VALUE!"/>
  </r>
  <r>
    <s v="Brass: Birmingham"/>
    <n v="2018"/>
    <n v="2"/>
    <n v="4"/>
    <x v="2"/>
    <n v="8.66"/>
    <n v="3.91"/>
    <x v="1"/>
    <e v="#VALUE!"/>
  </r>
  <r>
    <s v="Brass: Lancashire"/>
    <n v="2007"/>
    <n v="2"/>
    <n v="4"/>
    <x v="2"/>
    <n v="8.17"/>
    <n v="3.86"/>
    <x v="1"/>
    <e v="#VALUE!"/>
  </r>
  <r>
    <s v="Broom Service"/>
    <n v="2015"/>
    <n v="2"/>
    <n v="5"/>
    <x v="15"/>
    <n v="7.19"/>
    <n v="2.4"/>
    <x v="0"/>
    <e v="#VALUE!"/>
  </r>
  <r>
    <s v="Bruges"/>
    <n v="2013"/>
    <n v="2"/>
    <n v="4"/>
    <x v="4"/>
    <n v="7.43"/>
    <n v="2.75"/>
    <x v="1"/>
    <e v="#VALUE!"/>
  </r>
  <r>
    <s v="Bunny Kingdom"/>
    <n v="2017"/>
    <n v="2"/>
    <n v="4"/>
    <x v="4"/>
    <n v="7.46"/>
    <n v="2.27"/>
    <x v="0"/>
    <e v="#VALUE!"/>
  </r>
  <r>
    <s v="Burgle Bros."/>
    <n v="2015"/>
    <n v="1"/>
    <n v="4"/>
    <x v="3"/>
    <n v="7.54"/>
    <n v="2.31"/>
    <x v="0"/>
    <e v="#VALUE!"/>
  </r>
  <r>
    <s v="Ca$h 'n Guns (Second Edition)"/>
    <n v="2014"/>
    <n v="4"/>
    <n v="8"/>
    <x v="0"/>
    <n v="6.89"/>
    <n v="1.26"/>
    <x v="5"/>
    <e v="#VALUE!"/>
  </r>
  <r>
    <s v="Cacao"/>
    <n v="2015"/>
    <n v="2"/>
    <n v="4"/>
    <x v="1"/>
    <n v="7.1"/>
    <n v="1.82"/>
    <x v="0"/>
    <e v="#VALUE!"/>
  </r>
  <r>
    <s v="Camel Up"/>
    <n v="2014"/>
    <n v="2"/>
    <n v="8"/>
    <x v="0"/>
    <n v="7.05"/>
    <n v="1.48"/>
    <x v="0"/>
    <e v="#VALUE!"/>
  </r>
  <r>
    <s v="Can't Stop"/>
    <n v="1980"/>
    <n v="2"/>
    <n v="4"/>
    <x v="0"/>
    <n v="6.85"/>
    <n v="1.1599999999999999"/>
    <x v="0"/>
    <e v="#VALUE!"/>
  </r>
  <r>
    <s v="Captain Sonar"/>
    <n v="2016"/>
    <n v="2"/>
    <n v="8"/>
    <x v="4"/>
    <n v="7.57"/>
    <n v="2.15"/>
    <x v="5"/>
    <e v="#VALUE!"/>
  </r>
  <r>
    <s v="Carcassonne"/>
    <n v="2000"/>
    <n v="2"/>
    <n v="5"/>
    <x v="1"/>
    <n v="7.42"/>
    <n v="1.91"/>
    <x v="0"/>
    <e v="#VALUE!"/>
  </r>
  <r>
    <s v="Carcassonne: The Castle"/>
    <n v="2003"/>
    <n v="2"/>
    <n v="2"/>
    <x v="0"/>
    <n v="7.1"/>
    <n v="1.99"/>
    <x v="0"/>
    <e v="#VALUE!"/>
  </r>
  <r>
    <s v="Cards Against Humanity"/>
    <n v="2009"/>
    <n v="4"/>
    <n v="30"/>
    <x v="0"/>
    <n v="5.91"/>
    <n v="1.2"/>
    <x v="5"/>
    <e v="#VALUE!"/>
  </r>
  <r>
    <s v="Cartographers"/>
    <n v="2019"/>
    <n v="1"/>
    <n v="100"/>
    <x v="1"/>
    <n v="7.76"/>
    <n v="1.91"/>
    <x v="0"/>
    <e v="#VALUE!"/>
  </r>
  <r>
    <s v="Castle Panic"/>
    <n v="2009"/>
    <n v="1"/>
    <n v="6"/>
    <x v="4"/>
    <n v="6.65"/>
    <n v="1.66"/>
    <x v="0"/>
    <e v="#VALUE!"/>
  </r>
  <r>
    <s v="Castles of Mad King Ludwig"/>
    <n v="2014"/>
    <n v="1"/>
    <n v="4"/>
    <x v="3"/>
    <n v="7.56"/>
    <n v="2.66"/>
    <x v="1"/>
    <e v="#VALUE!"/>
  </r>
  <r>
    <s v="Catan"/>
    <n v="1995"/>
    <n v="3"/>
    <n v="4"/>
    <x v="2"/>
    <n v="7.15"/>
    <n v="2.3199999999999998"/>
    <x v="0"/>
    <e v="#VALUE!"/>
  </r>
  <r>
    <s v="Catan Card Game"/>
    <n v="1996"/>
    <n v="2"/>
    <n v="2"/>
    <x v="2"/>
    <n v="6.72"/>
    <n v="2.4500000000000002"/>
    <x v="1"/>
    <e v="#VALUE!"/>
  </r>
  <r>
    <s v="Catan Dice Game"/>
    <n v="2007"/>
    <n v="1"/>
    <n v="4"/>
    <x v="6"/>
    <n v="5.7"/>
    <n v="1.23"/>
    <x v="0"/>
    <e v="#VALUE!"/>
  </r>
  <r>
    <s v="Caverna: Cave vs Cave"/>
    <n v="2017"/>
    <n v="1"/>
    <n v="2"/>
    <x v="11"/>
    <n v="7.19"/>
    <n v="2.58"/>
    <x v="1"/>
    <e v="#VALUE!"/>
  </r>
  <r>
    <s v="Caverna: The Cave Farmers"/>
    <n v="2013"/>
    <n v="1"/>
    <n v="7"/>
    <x v="16"/>
    <n v="8.02"/>
    <n v="3.79"/>
    <x v="1"/>
    <e v="#VALUE!"/>
  </r>
  <r>
    <s v="Caylus"/>
    <n v="2005"/>
    <n v="2"/>
    <n v="5"/>
    <x v="5"/>
    <n v="7.77"/>
    <n v="3.8"/>
    <x v="1"/>
    <e v="#VALUE!"/>
  </r>
  <r>
    <s v="Celestia"/>
    <n v="2015"/>
    <n v="2"/>
    <n v="6"/>
    <x v="0"/>
    <n v="6.98"/>
    <n v="1.33"/>
    <x v="0"/>
    <e v="#VALUE!"/>
  </r>
  <r>
    <s v="Century: Eastern Wonders"/>
    <n v="2018"/>
    <n v="2"/>
    <n v="4"/>
    <x v="1"/>
    <n v="7.22"/>
    <n v="2.09"/>
    <x v="0"/>
    <e v="#VALUE!"/>
  </r>
  <r>
    <s v="Century: Golem Edition"/>
    <n v="2017"/>
    <n v="2"/>
    <n v="5"/>
    <x v="1"/>
    <n v="7.71"/>
    <n v="1.65"/>
    <x v="0"/>
    <e v="#VALUE!"/>
  </r>
  <r>
    <s v="Century: Spice Road"/>
    <n v="2017"/>
    <n v="2"/>
    <n v="5"/>
    <x v="1"/>
    <n v="7.37"/>
    <n v="1.77"/>
    <x v="0"/>
    <e v="#VALUE!"/>
  </r>
  <r>
    <s v="Champions of Midgard"/>
    <n v="2015"/>
    <n v="2"/>
    <n v="4"/>
    <x v="3"/>
    <n v="7.77"/>
    <n v="2.59"/>
    <x v="1"/>
    <e v="#VALUE!"/>
  </r>
  <r>
    <s v="Chaos in the Old World"/>
    <n v="2009"/>
    <n v="3"/>
    <n v="4"/>
    <x v="2"/>
    <n v="7.68"/>
    <n v="3.19"/>
    <x v="1"/>
    <e v="#VALUE!"/>
  </r>
  <r>
    <s v="Charterstone"/>
    <n v="2017"/>
    <n v="1"/>
    <n v="6"/>
    <x v="15"/>
    <n v="7.38"/>
    <n v="2.82"/>
    <x v="1"/>
    <e v="#VALUE!"/>
  </r>
  <r>
    <s v="Chess"/>
    <n v="1475"/>
    <n v="2"/>
    <n v="2"/>
    <x v="4"/>
    <n v="7.13"/>
    <n v="3.7"/>
    <x v="7"/>
    <e v="#VALUE!"/>
  </r>
  <r>
    <s v="Chinatown"/>
    <n v="1999"/>
    <n v="3"/>
    <n v="5"/>
    <x v="4"/>
    <n v="7.33"/>
    <n v="2.2799999999999998"/>
    <x v="1"/>
    <e v="#VALUE!"/>
  </r>
  <r>
    <s v="Chronicles of Crime"/>
    <n v="2018"/>
    <n v="1"/>
    <n v="4"/>
    <x v="3"/>
    <n v="7.8"/>
    <n v="2.11"/>
    <x v="2"/>
    <e v="#VALUE!"/>
  </r>
  <r>
    <s v="Citadels"/>
    <n v="2016"/>
    <n v="2"/>
    <n v="8"/>
    <x v="4"/>
    <n v="7.31"/>
    <n v="2"/>
    <x v="0"/>
    <e v="#VALUE!"/>
  </r>
  <r>
    <s v="Citadels"/>
    <n v="2000"/>
    <n v="2"/>
    <n v="8"/>
    <x v="4"/>
    <n v="7.08"/>
    <n v="2.0499999999999998"/>
    <x v="0"/>
    <e v="#VALUE!"/>
  </r>
  <r>
    <s v="Civilization"/>
    <n v="1980"/>
    <n v="2"/>
    <n v="7"/>
    <x v="17"/>
    <n v="7.5"/>
    <n v="3.66"/>
    <x v="1"/>
    <e v="#VALUE!"/>
  </r>
  <r>
    <s v="Clans of Caledonia"/>
    <n v="2017"/>
    <n v="1"/>
    <n v="4"/>
    <x v="2"/>
    <n v="8.01"/>
    <n v="3.46"/>
    <x v="1"/>
    <e v="#VALUE!"/>
  </r>
  <r>
    <s v="Clue"/>
    <n v="1949"/>
    <n v="2"/>
    <n v="6"/>
    <x v="1"/>
    <n v="5.67"/>
    <n v="1.66"/>
    <x v="0"/>
    <e v="#VALUE!"/>
  </r>
  <r>
    <s v="Cockroach Poker"/>
    <n v="2004"/>
    <n v="2"/>
    <n v="6"/>
    <x v="13"/>
    <n v="6.71"/>
    <n v="1.1200000000000001"/>
    <x v="5"/>
    <e v="#VALUE!"/>
  </r>
  <r>
    <s v="Codenames"/>
    <n v="2015"/>
    <n v="2"/>
    <n v="8"/>
    <x v="6"/>
    <n v="7.62"/>
    <n v="1.29"/>
    <x v="5"/>
    <e v="#VALUE!"/>
  </r>
  <r>
    <s v="Codenames: Duet"/>
    <n v="2017"/>
    <n v="2"/>
    <n v="99"/>
    <x v="0"/>
    <n v="7.57"/>
    <n v="1.34"/>
    <x v="0"/>
    <e v="#VALUE!"/>
  </r>
  <r>
    <s v="Codenames: Pictures"/>
    <n v="2016"/>
    <n v="2"/>
    <n v="8"/>
    <x v="6"/>
    <n v="7.26"/>
    <n v="1.27"/>
    <x v="5"/>
    <e v="#VALUE!"/>
  </r>
  <r>
    <s v="Coimbra"/>
    <n v="2018"/>
    <n v="2"/>
    <n v="4"/>
    <x v="3"/>
    <n v="7.69"/>
    <n v="3.28"/>
    <x v="1"/>
    <e v="#VALUE!"/>
  </r>
  <r>
    <s v="Coloretto"/>
    <n v="2003"/>
    <n v="2"/>
    <n v="5"/>
    <x v="0"/>
    <n v="6.97"/>
    <n v="1.28"/>
    <x v="0"/>
    <e v="#VALUE!"/>
  </r>
  <r>
    <s v="Colt Express"/>
    <n v="2014"/>
    <n v="2"/>
    <n v="6"/>
    <x v="11"/>
    <n v="7.12"/>
    <n v="1.82"/>
    <x v="0"/>
    <e v="#VALUE!"/>
  </r>
  <r>
    <s v="Commands &amp; Colors: Ancients"/>
    <n v="2006"/>
    <n v="2"/>
    <n v="2"/>
    <x v="4"/>
    <n v="7.78"/>
    <n v="2.69"/>
    <x v="6"/>
    <e v="#VALUE!"/>
  </r>
  <r>
    <s v="Concept"/>
    <n v="2013"/>
    <n v="4"/>
    <n v="12"/>
    <x v="11"/>
    <n v="6.82"/>
    <n v="1.4"/>
    <x v="5"/>
    <e v="#VALUE!"/>
  </r>
  <r>
    <s v="Concordia"/>
    <n v="2013"/>
    <n v="2"/>
    <n v="5"/>
    <x v="7"/>
    <n v="8.1199999999999992"/>
    <n v="3.03"/>
    <x v="1"/>
    <e v="#VALUE!"/>
  </r>
  <r>
    <s v="Condottiere"/>
    <n v="1995"/>
    <n v="2"/>
    <n v="6"/>
    <x v="1"/>
    <n v="6.83"/>
    <n v="1.96"/>
    <x v="1"/>
    <e v="#VALUE!"/>
  </r>
  <r>
    <s v="Cosmic Encounter"/>
    <n v="2008"/>
    <n v="3"/>
    <n v="5"/>
    <x v="2"/>
    <n v="7.54"/>
    <n v="2.57"/>
    <x v="1"/>
    <e v="#VALUE!"/>
  </r>
  <r>
    <s v="Cottage Garden"/>
    <n v="2016"/>
    <n v="1"/>
    <n v="4"/>
    <x v="4"/>
    <n v="6.91"/>
    <n v="1.9"/>
    <x v="0"/>
    <e v="#VALUE!"/>
  </r>
  <r>
    <s v="Coup"/>
    <n v="2012"/>
    <n v="2"/>
    <n v="6"/>
    <x v="6"/>
    <n v="7.01"/>
    <n v="1.41"/>
    <x v="5"/>
    <e v="#VALUE!"/>
  </r>
  <r>
    <s v="Cranium"/>
    <n v="1998"/>
    <n v="4"/>
    <n v="16"/>
    <x v="4"/>
    <n v="5.68"/>
    <n v="1.43"/>
    <x v="5"/>
    <e v="#VALUE!"/>
  </r>
  <r>
    <s v="Cribbage"/>
    <n v="1630"/>
    <n v="2"/>
    <n v="4"/>
    <x v="0"/>
    <n v="7.05"/>
    <n v="1.9"/>
    <x v="7"/>
    <e v="#VALUE!"/>
  </r>
  <r>
    <s v="Crokinole"/>
    <n v="1876"/>
    <n v="2"/>
    <n v="4"/>
    <x v="0"/>
    <n v="7.91"/>
    <n v="1.25"/>
    <x v="0"/>
    <e v="#VALUE!"/>
  </r>
  <r>
    <s v="Cryptid"/>
    <n v="2018"/>
    <n v="3"/>
    <n v="5"/>
    <x v="18"/>
    <n v="7.52"/>
    <n v="2.21"/>
    <x v="0"/>
    <e v="#VALUE!"/>
  </r>
  <r>
    <s v="Cyclades"/>
    <n v="2009"/>
    <n v="2"/>
    <n v="5"/>
    <x v="3"/>
    <n v="7.52"/>
    <n v="2.83"/>
    <x v="1"/>
    <e v="#VALUE!"/>
  </r>
  <r>
    <s v="DC Comics Deck-Building Game"/>
    <n v="2012"/>
    <n v="2"/>
    <n v="5"/>
    <x v="1"/>
    <n v="7.05"/>
    <n v="2"/>
    <x v="2"/>
    <e v="#VALUE!"/>
  </r>
  <r>
    <s v="Dead of Winter: The Long Night"/>
    <n v="2016"/>
    <n v="2"/>
    <n v="5"/>
    <x v="2"/>
    <n v="7.65"/>
    <n v="3.42"/>
    <x v="2"/>
    <e v="#VALUE!"/>
  </r>
  <r>
    <s v="Deception: Murder in Hong Kong"/>
    <n v="2014"/>
    <n v="4"/>
    <n v="12"/>
    <x v="13"/>
    <n v="7.5"/>
    <n v="1.6"/>
    <x v="5"/>
    <e v="#VALUE!"/>
  </r>
  <r>
    <s v="Decrypto"/>
    <n v="2018"/>
    <n v="3"/>
    <n v="8"/>
    <x v="1"/>
    <n v="7.79"/>
    <n v="1.83"/>
    <x v="5"/>
    <e v="#VALUE!"/>
  </r>
  <r>
    <s v="Deep Sea Adventure"/>
    <n v="2014"/>
    <n v="2"/>
    <n v="6"/>
    <x v="0"/>
    <n v="6.99"/>
    <n v="1.18"/>
    <x v="0"/>
    <e v="#VALUE!"/>
  </r>
  <r>
    <s v="Descent: Journeys in the Dark"/>
    <n v="2005"/>
    <n v="2"/>
    <n v="5"/>
    <x v="9"/>
    <n v="7.3"/>
    <n v="3.34"/>
    <x v="2"/>
    <e v="#VALUE!"/>
  </r>
  <r>
    <s v="Diamant"/>
    <n v="2005"/>
    <n v="3"/>
    <n v="8"/>
    <x v="0"/>
    <n v="6.82"/>
    <n v="1.1100000000000001"/>
    <x v="0"/>
    <e v="#VALUE!"/>
  </r>
  <r>
    <s v="Dice Forge"/>
    <n v="2017"/>
    <n v="2"/>
    <n v="4"/>
    <x v="1"/>
    <n v="7.29"/>
    <n v="1.97"/>
    <x v="0"/>
    <e v="#VALUE!"/>
  </r>
  <r>
    <s v="Dinosaur Island"/>
    <n v="2017"/>
    <n v="1"/>
    <n v="4"/>
    <x v="2"/>
    <n v="7.72"/>
    <n v="3.04"/>
    <x v="1"/>
    <e v="#VALUE!"/>
  </r>
  <r>
    <s v="Diplomacy"/>
    <n v="1959"/>
    <n v="2"/>
    <n v="7"/>
    <x v="17"/>
    <n v="7.04"/>
    <n v="3.36"/>
    <x v="1"/>
    <e v="#VALUE!"/>
  </r>
  <r>
    <s v="Discworld: Ankh-Morpork"/>
    <n v="2011"/>
    <n v="2"/>
    <n v="4"/>
    <x v="4"/>
    <n v="7.23"/>
    <n v="2.21"/>
    <x v="2"/>
    <e v="#VALUE!"/>
  </r>
  <r>
    <s v="Disney Villainous"/>
    <n v="2018"/>
    <n v="2"/>
    <n v="6"/>
    <x v="18"/>
    <n v="7.06"/>
    <n v="2.41"/>
    <x v="0"/>
    <e v="#VALUE!"/>
  </r>
  <r>
    <s v="Dixit"/>
    <n v="2008"/>
    <n v="3"/>
    <n v="6"/>
    <x v="0"/>
    <n v="7.26"/>
    <n v="1.22"/>
    <x v="5"/>
    <e v="#VALUE!"/>
  </r>
  <r>
    <s v="Dixit: Odyssey"/>
    <n v="2011"/>
    <n v="3"/>
    <n v="12"/>
    <x v="0"/>
    <n v="7.45"/>
    <n v="1.19"/>
    <x v="5"/>
    <e v="#VALUE!"/>
  </r>
  <r>
    <s v="Dominant Species"/>
    <n v="2010"/>
    <n v="2"/>
    <n v="6"/>
    <x v="9"/>
    <n v="7.85"/>
    <n v="4.04"/>
    <x v="1"/>
    <e v="#VALUE!"/>
  </r>
  <r>
    <s v="Dominion"/>
    <n v="2008"/>
    <n v="2"/>
    <n v="4"/>
    <x v="0"/>
    <n v="7.62"/>
    <n v="2.36"/>
    <x v="1"/>
    <e v="#VALUE!"/>
  </r>
  <r>
    <s v="Dominion: Intrigue"/>
    <n v="2009"/>
    <n v="2"/>
    <n v="4"/>
    <x v="0"/>
    <n v="7.72"/>
    <n v="2.42"/>
    <x v="1"/>
    <e v="#VALUE!"/>
  </r>
  <r>
    <s v="Dominoes"/>
    <n v="1500"/>
    <n v="2"/>
    <n v="10"/>
    <x v="0"/>
    <n v="5.47"/>
    <n v="1.38"/>
    <x v="7"/>
    <e v="#VALUE!"/>
  </r>
  <r>
    <s v="Downforce"/>
    <n v="2017"/>
    <n v="2"/>
    <n v="6"/>
    <x v="11"/>
    <n v="7.36"/>
    <n v="1.74"/>
    <x v="0"/>
    <e v="#VALUE!"/>
  </r>
  <r>
    <s v="Dungeon Lords"/>
    <n v="2009"/>
    <n v="2"/>
    <n v="4"/>
    <x v="3"/>
    <n v="7.39"/>
    <n v="3.56"/>
    <x v="1"/>
    <e v="#VALUE!"/>
  </r>
  <r>
    <s v="Dungeon Petz"/>
    <n v="2011"/>
    <n v="2"/>
    <n v="4"/>
    <x v="3"/>
    <n v="7.47"/>
    <n v="3.6"/>
    <x v="1"/>
    <e v="#VALUE!"/>
  </r>
  <r>
    <s v="Dungeon Roll"/>
    <n v="2013"/>
    <n v="1"/>
    <n v="4"/>
    <x v="6"/>
    <n v="6.12"/>
    <n v="1.33"/>
    <x v="0"/>
    <e v="#VALUE!"/>
  </r>
  <r>
    <s v="Eclipse"/>
    <n v="2011"/>
    <n v="2"/>
    <n v="6"/>
    <x v="10"/>
    <n v="7.89"/>
    <n v="3.7"/>
    <x v="1"/>
    <e v="#VALUE!"/>
  </r>
  <r>
    <s v="El Grande"/>
    <n v="1995"/>
    <n v="2"/>
    <n v="5"/>
    <x v="2"/>
    <n v="7.75"/>
    <n v="3.05"/>
    <x v="1"/>
    <e v="#VALUE!"/>
  </r>
  <r>
    <s v="Elder Sign"/>
    <n v="2011"/>
    <n v="1"/>
    <n v="8"/>
    <x v="3"/>
    <n v="6.98"/>
    <n v="2.35"/>
    <x v="2"/>
    <e v="#VALUE!"/>
  </r>
  <r>
    <s v="Eldritch Horror"/>
    <n v="2013"/>
    <n v="1"/>
    <n v="8"/>
    <x v="9"/>
    <n v="7.81"/>
    <n v="3.32"/>
    <x v="2"/>
    <e v="#VALUE!"/>
  </r>
  <r>
    <s v="Elysium"/>
    <n v="2015"/>
    <n v="2"/>
    <n v="4"/>
    <x v="4"/>
    <n v="7.23"/>
    <n v="2.76"/>
    <x v="1"/>
    <e v="#VALUE!"/>
  </r>
  <r>
    <s v="Eminent Domain"/>
    <n v="2011"/>
    <n v="2"/>
    <n v="4"/>
    <x v="1"/>
    <n v="7.05"/>
    <n v="2.5"/>
    <x v="1"/>
    <e v="#VALUE!"/>
  </r>
  <r>
    <s v="Epic Card Game"/>
    <n v="2015"/>
    <n v="2"/>
    <n v="4"/>
    <x v="11"/>
    <n v="6.47"/>
    <n v="2.52"/>
    <x v="3"/>
    <e v="#VALUE!"/>
  </r>
  <r>
    <s v="Ethnos"/>
    <n v="2017"/>
    <n v="2"/>
    <n v="6"/>
    <x v="4"/>
    <n v="7.48"/>
    <n v="2.0299999999999998"/>
    <x v="1"/>
    <e v="#VALUE!"/>
  </r>
  <r>
    <s v="Everdell"/>
    <n v="2018"/>
    <n v="1"/>
    <n v="4"/>
    <x v="8"/>
    <n v="8.08"/>
    <n v="2.81"/>
    <x v="0"/>
    <e v="#VALUE!"/>
  </r>
  <r>
    <s v="Evolution"/>
    <n v="2014"/>
    <n v="2"/>
    <n v="6"/>
    <x v="4"/>
    <n v="7.13"/>
    <n v="2.4300000000000002"/>
    <x v="1"/>
    <e v="#VALUE!"/>
  </r>
  <r>
    <s v="Evolution: Climate"/>
    <n v="2016"/>
    <n v="2"/>
    <n v="6"/>
    <x v="4"/>
    <n v="7.62"/>
    <n v="2.78"/>
    <x v="1"/>
    <e v="#VALUE!"/>
  </r>
  <r>
    <s v="Exploding Kittens"/>
    <n v="2015"/>
    <n v="2"/>
    <n v="5"/>
    <x v="6"/>
    <n v="6.04"/>
    <n v="1.07"/>
    <x v="5"/>
    <e v="#VALUE!"/>
  </r>
  <r>
    <s v="Exploding Kittens: NSFW Deck"/>
    <n v="2015"/>
    <n v="2"/>
    <n v="5"/>
    <x v="13"/>
    <n v="6.22"/>
    <n v="1.07"/>
    <x v="5"/>
    <e v="#VALUE!"/>
  </r>
  <r>
    <s v="Fairy Tale"/>
    <n v="2004"/>
    <n v="2"/>
    <n v="5"/>
    <x v="0"/>
    <n v="6.73"/>
    <n v="1.77"/>
    <x v="0"/>
    <e v="#VALUE!"/>
  </r>
  <r>
    <s v="Fallout"/>
    <n v="2017"/>
    <n v="1"/>
    <n v="4"/>
    <x v="10"/>
    <n v="6.94"/>
    <n v="2.99"/>
    <x v="2"/>
    <e v="#VALUE!"/>
  </r>
  <r>
    <s v="Fields of Arle"/>
    <n v="2014"/>
    <n v="1"/>
    <n v="2"/>
    <x v="2"/>
    <n v="8.09"/>
    <n v="3.88"/>
    <x v="1"/>
    <e v="#VALUE!"/>
  </r>
  <r>
    <s v="Firefly: The Game"/>
    <n v="2013"/>
    <n v="1"/>
    <n v="4"/>
    <x v="9"/>
    <n v="7.39"/>
    <n v="2.96"/>
    <x v="2"/>
    <e v="#VALUE!"/>
  </r>
  <r>
    <s v="Five Tribes"/>
    <n v="2014"/>
    <n v="2"/>
    <n v="4"/>
    <x v="8"/>
    <n v="7.78"/>
    <n v="2.86"/>
    <x v="1"/>
    <e v="#VALUE!"/>
  </r>
  <r>
    <s v="Flamme Rouge"/>
    <n v="2016"/>
    <n v="2"/>
    <n v="4"/>
    <x v="1"/>
    <n v="7.56"/>
    <n v="1.67"/>
    <x v="0"/>
    <e v="#VALUE!"/>
  </r>
  <r>
    <s v="Flash Point: Fire Rescue"/>
    <n v="2011"/>
    <n v="2"/>
    <n v="6"/>
    <x v="1"/>
    <n v="7.2"/>
    <n v="2.21"/>
    <x v="0"/>
    <e v="#VALUE!"/>
  </r>
  <r>
    <s v="Flick 'em Up!"/>
    <n v="2015"/>
    <n v="2"/>
    <n v="10"/>
    <x v="1"/>
    <n v="6.95"/>
    <n v="1.33"/>
    <x v="0"/>
    <e v="#VALUE!"/>
  </r>
  <r>
    <s v="Fluxx"/>
    <n v="1997"/>
    <n v="2"/>
    <n v="6"/>
    <x v="0"/>
    <n v="5.67"/>
    <n v="1.39"/>
    <x v="0"/>
    <e v="#VALUE!"/>
  </r>
  <r>
    <s v="Fog of Love"/>
    <n v="2017"/>
    <n v="2"/>
    <n v="2"/>
    <x v="2"/>
    <n v="6.95"/>
    <n v="2.25"/>
    <x v="2"/>
    <e v="#VALUE!"/>
  </r>
  <r>
    <s v="Food Chain Magnate"/>
    <n v="2015"/>
    <n v="2"/>
    <n v="5"/>
    <x v="9"/>
    <n v="8.14"/>
    <n v="4.2"/>
    <x v="1"/>
    <e v="#VALUE!"/>
  </r>
  <r>
    <s v="For Sale"/>
    <n v="1997"/>
    <n v="3"/>
    <n v="6"/>
    <x v="0"/>
    <n v="7.22"/>
    <n v="1.26"/>
    <x v="0"/>
    <e v="#VALUE!"/>
  </r>
  <r>
    <s v="Forbidden Desert"/>
    <n v="2013"/>
    <n v="2"/>
    <n v="5"/>
    <x v="1"/>
    <n v="7.14"/>
    <n v="2.0499999999999998"/>
    <x v="0"/>
    <e v="#VALUE!"/>
  </r>
  <r>
    <s v="Forbidden Island"/>
    <n v="2010"/>
    <n v="2"/>
    <n v="4"/>
    <x v="0"/>
    <n v="6.79"/>
    <n v="1.74"/>
    <x v="0"/>
    <e v="#VALUE!"/>
  </r>
  <r>
    <s v="Forbidden Stars"/>
    <n v="2015"/>
    <n v="2"/>
    <n v="4"/>
    <x v="10"/>
    <n v="7.97"/>
    <n v="3.83"/>
    <x v="1"/>
    <e v="#VALUE!"/>
  </r>
  <r>
    <s v="Formula D"/>
    <n v="2008"/>
    <n v="2"/>
    <n v="10"/>
    <x v="4"/>
    <n v="7.02"/>
    <n v="1.97"/>
    <x v="0"/>
    <e v="#VALUE!"/>
  </r>
  <r>
    <s v="Fresco"/>
    <n v="2010"/>
    <n v="2"/>
    <n v="4"/>
    <x v="4"/>
    <n v="7.29"/>
    <n v="2.64"/>
    <x v="0"/>
    <e v="#VALUE!"/>
  </r>
  <r>
    <s v="Friday"/>
    <n v="2011"/>
    <n v="1"/>
    <n v="1"/>
    <x v="12"/>
    <n v="7.14"/>
    <n v="2.14"/>
    <x v="1"/>
    <e v="#VALUE!"/>
  </r>
  <r>
    <s v="FUSE"/>
    <n v="2015"/>
    <n v="1"/>
    <n v="5"/>
    <x v="14"/>
    <n v="7.06"/>
    <n v="1.67"/>
    <x v="0"/>
    <e v="#VALUE!"/>
  </r>
  <r>
    <s v="Gaia Project"/>
    <n v="2017"/>
    <n v="1"/>
    <n v="4"/>
    <x v="5"/>
    <n v="8.49"/>
    <n v="4.3499999999999996"/>
    <x v="1"/>
    <e v="#VALUE!"/>
  </r>
  <r>
    <s v="Galaxy Trucker"/>
    <n v="2007"/>
    <n v="2"/>
    <n v="4"/>
    <x v="4"/>
    <n v="7.41"/>
    <n v="2.33"/>
    <x v="2"/>
    <e v="#VALUE!"/>
  </r>
  <r>
    <s v="Get Bit!"/>
    <n v="2007"/>
    <n v="3"/>
    <n v="6"/>
    <x v="13"/>
    <n v="6.15"/>
    <n v="1.1200000000000001"/>
    <x v="0"/>
    <e v="#VALUE!"/>
  </r>
  <r>
    <s v="Ghost Blitz"/>
    <n v="2010"/>
    <n v="2"/>
    <n v="8"/>
    <x v="13"/>
    <n v="6.71"/>
    <n v="1.1499999999999999"/>
    <x v="0"/>
    <e v="#VALUE!"/>
  </r>
  <r>
    <s v="Ghost Stories"/>
    <n v="2008"/>
    <n v="1"/>
    <n v="4"/>
    <x v="4"/>
    <n v="7.32"/>
    <n v="2.91"/>
    <x v="1"/>
    <e v="#VALUE!"/>
  </r>
  <r>
    <s v="Gizmos"/>
    <n v="2018"/>
    <n v="2"/>
    <n v="4"/>
    <x v="18"/>
    <n v="7.45"/>
    <n v="2.02"/>
    <x v="0"/>
    <e v="#VALUE!"/>
  </r>
  <r>
    <s v="Glass Road"/>
    <n v="2013"/>
    <n v="1"/>
    <n v="4"/>
    <x v="8"/>
    <n v="7.45"/>
    <n v="2.97"/>
    <x v="1"/>
    <e v="#VALUE!"/>
  </r>
  <r>
    <s v="Gloom"/>
    <n v="2005"/>
    <n v="2"/>
    <n v="4"/>
    <x v="4"/>
    <n v="6.34"/>
    <n v="1.63"/>
    <x v="2"/>
    <e v="#VALUE!"/>
  </r>
  <r>
    <s v="Gloomhaven"/>
    <n v="2017"/>
    <n v="1"/>
    <n v="4"/>
    <x v="2"/>
    <n v="8.7899999999999991"/>
    <n v="3.86"/>
    <x v="1"/>
    <e v="#VALUE!"/>
  </r>
  <r>
    <s v="Gloomhaven: Jaws of the Lion"/>
    <n v="2020"/>
    <n v="1"/>
    <n v="4"/>
    <x v="2"/>
    <n v="8.8699999999999992"/>
    <n v="3.55"/>
    <x v="1"/>
    <e v="#VALUE!"/>
  </r>
  <r>
    <s v="Glory to Rome"/>
    <n v="2005"/>
    <n v="2"/>
    <n v="5"/>
    <x v="4"/>
    <n v="7.49"/>
    <n v="2.93"/>
    <x v="1"/>
    <e v="#VALUE!"/>
  </r>
  <r>
    <s v="Go"/>
    <n v="-2200"/>
    <n v="2"/>
    <n v="2"/>
    <x v="10"/>
    <n v="7.64"/>
    <n v="4"/>
    <x v="7"/>
    <e v="#VALUE!"/>
  </r>
  <r>
    <s v="Goa"/>
    <n v="2004"/>
    <n v="2"/>
    <n v="4"/>
    <x v="3"/>
    <n v="7.58"/>
    <n v="3.38"/>
    <x v="1"/>
    <e v="#VALUE!"/>
  </r>
  <r>
    <s v="Grand Austria Hotel"/>
    <n v="2015"/>
    <n v="2"/>
    <n v="4"/>
    <x v="2"/>
    <n v="7.85"/>
    <n v="3.22"/>
    <x v="1"/>
    <e v="#VALUE!"/>
  </r>
  <r>
    <s v="Great Western Trail"/>
    <n v="2016"/>
    <n v="2"/>
    <n v="4"/>
    <x v="5"/>
    <n v="8.3000000000000007"/>
    <n v="3.71"/>
    <x v="1"/>
    <e v="#VALUE!"/>
  </r>
  <r>
    <s v="Guillotine"/>
    <n v="1998"/>
    <n v="2"/>
    <n v="5"/>
    <x v="0"/>
    <n v="6.53"/>
    <n v="1.27"/>
    <x v="0"/>
    <e v="#VALUE!"/>
  </r>
  <r>
    <s v="Hanabi"/>
    <n v="2010"/>
    <n v="2"/>
    <n v="5"/>
    <x v="12"/>
    <n v="7.08"/>
    <n v="1.7"/>
    <x v="0"/>
    <e v="#VALUE!"/>
  </r>
  <r>
    <s v="Hanamikoji"/>
    <n v="2013"/>
    <n v="2"/>
    <n v="2"/>
    <x v="6"/>
    <n v="7.54"/>
    <n v="1.71"/>
    <x v="0"/>
    <e v="#VALUE!"/>
  </r>
  <r>
    <s v="Hansa Teutonica"/>
    <n v="2009"/>
    <n v="2"/>
    <n v="5"/>
    <x v="3"/>
    <n v="7.65"/>
    <n v="3.12"/>
    <x v="1"/>
    <e v="#VALUE!"/>
  </r>
  <r>
    <s v="Harry Potter: Hogwarts Battle"/>
    <n v="2016"/>
    <n v="2"/>
    <n v="4"/>
    <x v="4"/>
    <n v="7.46"/>
    <n v="2.08"/>
    <x v="1"/>
    <e v="#VALUE!"/>
  </r>
  <r>
    <s v="Hero Realms"/>
    <n v="2016"/>
    <n v="2"/>
    <n v="4"/>
    <x v="0"/>
    <n v="7.6"/>
    <n v="1.9"/>
    <x v="3"/>
    <e v="#VALUE!"/>
  </r>
  <r>
    <s v="HeroQuest"/>
    <n v="1989"/>
    <n v="2"/>
    <n v="5"/>
    <x v="3"/>
    <n v="7.14"/>
    <n v="2.16"/>
    <x v="2"/>
    <e v="#VALUE!"/>
  </r>
  <r>
    <s v="Hey, That's My Fish!"/>
    <n v="2003"/>
    <n v="2"/>
    <n v="4"/>
    <x v="13"/>
    <n v="6.7"/>
    <n v="1.46"/>
    <x v="7"/>
    <e v="#VALUE!"/>
  </r>
  <r>
    <s v="High Society"/>
    <n v="1995"/>
    <n v="3"/>
    <n v="5"/>
    <x v="0"/>
    <n v="7.05"/>
    <n v="1.5"/>
    <x v="0"/>
    <e v="#VALUE!"/>
  </r>
  <r>
    <s v="Hive"/>
    <n v="2000"/>
    <n v="2"/>
    <n v="2"/>
    <x v="13"/>
    <n v="7.32"/>
    <n v="2.33"/>
    <x v="7"/>
    <e v="#VALUE!"/>
  </r>
  <r>
    <s v="Horrified"/>
    <n v="2019"/>
    <n v="1"/>
    <n v="5"/>
    <x v="4"/>
    <n v="7.84"/>
    <n v="2.0499999999999998"/>
    <x v="2"/>
    <e v="#VALUE!"/>
  </r>
  <r>
    <s v="ICECOOL"/>
    <n v="2016"/>
    <n v="2"/>
    <n v="4"/>
    <x v="0"/>
    <n v="6.83"/>
    <n v="1.02"/>
    <x v="4"/>
    <e v="#VALUE!"/>
  </r>
  <r>
    <s v="Imhotep"/>
    <n v="2016"/>
    <n v="2"/>
    <n v="4"/>
    <x v="11"/>
    <n v="7.2"/>
    <n v="2.0099999999999998"/>
    <x v="0"/>
    <e v="#VALUE!"/>
  </r>
  <r>
    <s v="Imperial Settlers"/>
    <n v="2014"/>
    <n v="1"/>
    <n v="4"/>
    <x v="3"/>
    <n v="7.41"/>
    <n v="2.77"/>
    <x v="1"/>
    <e v="#VALUE!"/>
  </r>
  <r>
    <s v="Ingenious"/>
    <n v="2004"/>
    <n v="1"/>
    <n v="4"/>
    <x v="1"/>
    <n v="7.12"/>
    <n v="1.92"/>
    <x v="7"/>
    <e v="#VALUE!"/>
  </r>
  <r>
    <s v="Inis"/>
    <n v="2016"/>
    <n v="2"/>
    <n v="4"/>
    <x v="3"/>
    <n v="7.8"/>
    <n v="2.88"/>
    <x v="1"/>
    <e v="#VALUE!"/>
  </r>
  <r>
    <s v="Innovation"/>
    <n v="2010"/>
    <n v="2"/>
    <n v="4"/>
    <x v="4"/>
    <n v="7.25"/>
    <n v="2.74"/>
    <x v="1"/>
    <e v="#VALUE!"/>
  </r>
  <r>
    <s v="Istanbul"/>
    <n v="2014"/>
    <n v="2"/>
    <n v="5"/>
    <x v="4"/>
    <n v="7.58"/>
    <n v="2.58"/>
    <x v="1"/>
    <e v="#VALUE!"/>
  </r>
  <r>
    <s v="Jaipur"/>
    <n v="2009"/>
    <n v="2"/>
    <n v="2"/>
    <x v="0"/>
    <n v="7.51"/>
    <n v="1.49"/>
    <x v="0"/>
    <e v="#VALUE!"/>
  </r>
  <r>
    <s v="Jamaica"/>
    <n v="2007"/>
    <n v="2"/>
    <n v="6"/>
    <x v="4"/>
    <n v="7.06"/>
    <n v="1.65"/>
    <x v="0"/>
    <e v="#VALUE!"/>
  </r>
  <r>
    <s v="Jenga"/>
    <n v="1983"/>
    <n v="1"/>
    <n v="8"/>
    <x v="13"/>
    <n v="5.6"/>
    <n v="1.1200000000000001"/>
    <x v="5"/>
    <e v="#VALUE!"/>
  </r>
  <r>
    <s v="Joking Hazard"/>
    <n v="2016"/>
    <n v="3"/>
    <n v="10"/>
    <x v="3"/>
    <n v="6.41"/>
    <n v="1.04"/>
    <x v="5"/>
    <e v="#VALUE!"/>
  </r>
  <r>
    <s v="Jungle Speed"/>
    <n v="1997"/>
    <n v="2"/>
    <n v="8"/>
    <x v="14"/>
    <n v="6.5"/>
    <n v="1.1399999999999999"/>
    <x v="5"/>
    <e v="#VALUE!"/>
  </r>
  <r>
    <s v="Just One"/>
    <n v="2018"/>
    <n v="3"/>
    <n v="7"/>
    <x v="13"/>
    <n v="7.6"/>
    <n v="1.05"/>
    <x v="5"/>
    <e v="#VALUE!"/>
  </r>
  <r>
    <s v="Kahuna"/>
    <n v="1998"/>
    <n v="2"/>
    <n v="2"/>
    <x v="11"/>
    <n v="6.63"/>
    <n v="2.06"/>
    <x v="7"/>
    <e v="#VALUE!"/>
  </r>
  <r>
    <s v="Kalah"/>
    <n v="700"/>
    <n v="2"/>
    <n v="2"/>
    <x v="14"/>
    <n v="5.92"/>
    <n v="1.62"/>
    <x v="7"/>
    <e v="#VALUE!"/>
  </r>
  <r>
    <s v="Kanagawa"/>
    <n v="2016"/>
    <n v="2"/>
    <n v="4"/>
    <x v="1"/>
    <n v="7.1"/>
    <n v="2.0299999999999998"/>
    <x v="0"/>
    <e v="#VALUE!"/>
  </r>
  <r>
    <s v="Karuba"/>
    <n v="2015"/>
    <n v="2"/>
    <n v="4"/>
    <x v="11"/>
    <n v="7.21"/>
    <n v="1.46"/>
    <x v="0"/>
    <e v="#VALUE!"/>
  </r>
  <r>
    <s v="Kemet"/>
    <n v="2012"/>
    <n v="2"/>
    <n v="5"/>
    <x v="2"/>
    <n v="7.72"/>
    <n v="3.01"/>
    <x v="1"/>
    <e v="#VALUE!"/>
  </r>
  <r>
    <s v="Keyflower"/>
    <n v="2012"/>
    <n v="2"/>
    <n v="6"/>
    <x v="2"/>
    <n v="7.8"/>
    <n v="3.35"/>
    <x v="1"/>
    <e v="#VALUE!"/>
  </r>
  <r>
    <s v="KeyForge: Call of the Archons"/>
    <n v="2018"/>
    <n v="2"/>
    <n v="2"/>
    <x v="1"/>
    <n v="7.28"/>
    <n v="2.46"/>
    <x v="3"/>
    <e v="#VALUE!"/>
  </r>
  <r>
    <s v="Kill Doctor Lucky"/>
    <n v="1996"/>
    <n v="3"/>
    <n v="8"/>
    <x v="1"/>
    <n v="6.15"/>
    <n v="1.65"/>
    <x v="0"/>
    <e v="#VALUE!"/>
  </r>
  <r>
    <s v="King of New York"/>
    <n v="2014"/>
    <n v="2"/>
    <n v="6"/>
    <x v="11"/>
    <n v="6.96"/>
    <n v="1.87"/>
    <x v="0"/>
    <e v="#VALUE!"/>
  </r>
  <r>
    <s v="King of Tokyo"/>
    <n v="2011"/>
    <n v="2"/>
    <n v="6"/>
    <x v="0"/>
    <n v="7.18"/>
    <n v="1.49"/>
    <x v="0"/>
    <e v="#VALUE!"/>
  </r>
  <r>
    <s v="Kingdom Builder"/>
    <n v="2011"/>
    <n v="2"/>
    <n v="4"/>
    <x v="1"/>
    <n v="6.96"/>
    <n v="2.0699999999999998"/>
    <x v="0"/>
    <e v="#VALUE!"/>
  </r>
  <r>
    <s v="Kingdom Death: Monster"/>
    <n v="2015"/>
    <n v="1"/>
    <n v="4"/>
    <x v="10"/>
    <n v="8.66"/>
    <n v="4.25"/>
    <x v="2"/>
    <e v="#VALUE!"/>
  </r>
  <r>
    <s v="Kingdomino"/>
    <n v="2016"/>
    <n v="2"/>
    <n v="4"/>
    <x v="6"/>
    <n v="7.35"/>
    <n v="1.21"/>
    <x v="0"/>
    <e v="#VALUE!"/>
  </r>
  <r>
    <s v="Kingsburg"/>
    <n v="2007"/>
    <n v="2"/>
    <n v="5"/>
    <x v="3"/>
    <n v="7.19"/>
    <n v="2.4300000000000002"/>
    <x v="0"/>
    <e v="#VALUE!"/>
  </r>
  <r>
    <s v="La Granja"/>
    <n v="2014"/>
    <n v="1"/>
    <n v="4"/>
    <x v="2"/>
    <n v="7.67"/>
    <n v="3.58"/>
    <x v="1"/>
    <e v="#VALUE!"/>
  </r>
  <r>
    <s v="Labyrinth"/>
    <n v="1986"/>
    <n v="2"/>
    <n v="4"/>
    <x v="13"/>
    <n v="6.41"/>
    <n v="1.37"/>
    <x v="0"/>
    <e v="#VALUE!"/>
  </r>
  <r>
    <s v="Lanterns: The Harvest Festival"/>
    <n v="2015"/>
    <n v="2"/>
    <n v="4"/>
    <x v="0"/>
    <n v="6.92"/>
    <n v="1.57"/>
    <x v="0"/>
    <e v="#VALUE!"/>
  </r>
  <r>
    <s v="Las Vegas"/>
    <n v="2012"/>
    <n v="2"/>
    <n v="5"/>
    <x v="0"/>
    <n v="7.13"/>
    <n v="1.19"/>
    <x v="0"/>
    <e v="#VALUE!"/>
  </r>
  <r>
    <s v="Last Will"/>
    <n v="2011"/>
    <n v="2"/>
    <n v="5"/>
    <x v="15"/>
    <n v="7.19"/>
    <n v="2.71"/>
    <x v="1"/>
    <e v="#VALUE!"/>
  </r>
  <r>
    <s v="Le Havre"/>
    <n v="2008"/>
    <n v="1"/>
    <n v="5"/>
    <x v="5"/>
    <n v="7.87"/>
    <n v="3.74"/>
    <x v="1"/>
    <e v="#VALUE!"/>
  </r>
  <r>
    <s v="Legends of Andor"/>
    <n v="2012"/>
    <n v="2"/>
    <n v="4"/>
    <x v="3"/>
    <n v="7.21"/>
    <n v="2.77"/>
    <x v="2"/>
    <e v="#VALUE!"/>
  </r>
  <r>
    <s v="Letters from Whitechapel"/>
    <n v="2011"/>
    <n v="2"/>
    <n v="6"/>
    <x v="4"/>
    <n v="7.4"/>
    <n v="2.66"/>
    <x v="1"/>
    <e v="#VALUE!"/>
  </r>
  <r>
    <s v="Lewis &amp; Clark: The Expedition"/>
    <n v="2013"/>
    <n v="1"/>
    <n v="5"/>
    <x v="2"/>
    <n v="7.49"/>
    <n v="3.34"/>
    <x v="1"/>
    <e v="#VALUE!"/>
  </r>
  <r>
    <s v="Libertalia"/>
    <n v="2012"/>
    <n v="2"/>
    <n v="6"/>
    <x v="4"/>
    <n v="7.16"/>
    <n v="2.2400000000000002"/>
    <x v="1"/>
    <e v="#VALUE!"/>
  </r>
  <r>
    <s v="Lisboa"/>
    <n v="2017"/>
    <n v="1"/>
    <n v="4"/>
    <x v="2"/>
    <n v="8.18"/>
    <n v="4.57"/>
    <x v="1"/>
    <e v="#VALUE!"/>
  </r>
  <r>
    <s v="Loopin' Louie"/>
    <n v="1992"/>
    <n v="2"/>
    <n v="4"/>
    <x v="14"/>
    <n v="6.78"/>
    <n v="1.05"/>
    <x v="4"/>
    <e v="#VALUE!"/>
  </r>
  <r>
    <s v="Loot"/>
    <n v="1992"/>
    <n v="2"/>
    <n v="8"/>
    <x v="13"/>
    <n v="6.3"/>
    <n v="1.38"/>
    <x v="0"/>
    <e v="#VALUE!"/>
  </r>
  <r>
    <s v="Lords of Waterdeep"/>
    <n v="2012"/>
    <n v="2"/>
    <n v="5"/>
    <x v="2"/>
    <n v="7.75"/>
    <n v="2.46"/>
    <x v="1"/>
    <e v="#VALUE!"/>
  </r>
  <r>
    <s v="Lorenzo il Magnifico"/>
    <n v="2016"/>
    <n v="2"/>
    <n v="4"/>
    <x v="2"/>
    <n v="7.89"/>
    <n v="3.28"/>
    <x v="1"/>
    <e v="#VALUE!"/>
  </r>
  <r>
    <s v="Lost Cities"/>
    <n v="1999"/>
    <n v="2"/>
    <n v="2"/>
    <x v="0"/>
    <n v="7.18"/>
    <n v="1.5"/>
    <x v="0"/>
    <e v="#VALUE!"/>
  </r>
  <r>
    <s v="Love Letter"/>
    <n v="2012"/>
    <n v="2"/>
    <n v="4"/>
    <x v="13"/>
    <n v="7.23"/>
    <n v="1.19"/>
    <x v="0"/>
    <e v="#VALUE!"/>
  </r>
  <r>
    <s v="Machi Koro"/>
    <n v="2012"/>
    <n v="2"/>
    <n v="4"/>
    <x v="0"/>
    <n v="6.63"/>
    <n v="1.53"/>
    <x v="0"/>
    <e v="#VALUE!"/>
  </r>
  <r>
    <s v="Mage Knight Board Game"/>
    <n v="2011"/>
    <n v="1"/>
    <n v="4"/>
    <x v="9"/>
    <n v="8.1"/>
    <n v="4.3099999999999996"/>
    <x v="1"/>
    <e v="#VALUE!"/>
  </r>
  <r>
    <s v="Mage Wars Arena"/>
    <n v="2012"/>
    <n v="2"/>
    <n v="2"/>
    <x v="3"/>
    <n v="7.64"/>
    <n v="3.67"/>
    <x v="3"/>
    <e v="#VALUE!"/>
  </r>
  <r>
    <s v="Magic Maze"/>
    <n v="2017"/>
    <n v="1"/>
    <n v="8"/>
    <x v="6"/>
    <n v="7.05"/>
    <n v="1.75"/>
    <x v="0"/>
    <e v="#VALUE!"/>
  </r>
  <r>
    <s v="Magic: The Gathering"/>
    <n v="1993"/>
    <n v="2"/>
    <n v="2"/>
    <x v="13"/>
    <n v="7.52"/>
    <n v="3.22"/>
    <x v="3"/>
    <e v="#VALUE!"/>
  </r>
  <r>
    <s v="Mansions of Madness"/>
    <n v="2011"/>
    <n v="2"/>
    <n v="5"/>
    <x v="10"/>
    <n v="7.29"/>
    <n v="3.24"/>
    <x v="2"/>
    <e v="#VALUE!"/>
  </r>
  <r>
    <s v="Maracaibo"/>
    <n v="2019"/>
    <n v="1"/>
    <n v="4"/>
    <x v="2"/>
    <n v="8.2899999999999991"/>
    <n v="3.87"/>
    <x v="1"/>
    <e v="#VALUE!"/>
  </r>
  <r>
    <s v="Mascarade"/>
    <n v="2013"/>
    <n v="2"/>
    <n v="13"/>
    <x v="0"/>
    <n v="6.62"/>
    <n v="1.53"/>
    <x v="5"/>
    <e v="#VALUE!"/>
  </r>
  <r>
    <s v="Mechs vs. Minions"/>
    <n v="2016"/>
    <n v="2"/>
    <n v="4"/>
    <x v="2"/>
    <n v="8.0500000000000007"/>
    <n v="2.41"/>
    <x v="1"/>
    <e v="#VALUE!"/>
  </r>
  <r>
    <s v="Memoir '44"/>
    <n v="2004"/>
    <n v="2"/>
    <n v="8"/>
    <x v="4"/>
    <n v="7.56"/>
    <n v="2.27"/>
    <x v="6"/>
    <e v="#VALUE!"/>
  </r>
  <r>
    <s v="Merchants &amp; Marauders"/>
    <n v="2010"/>
    <n v="2"/>
    <n v="4"/>
    <x v="10"/>
    <n v="7.41"/>
    <n v="3.24"/>
    <x v="2"/>
    <e v="#VALUE!"/>
  </r>
  <r>
    <s v="Mice and Mystics"/>
    <n v="2012"/>
    <n v="1"/>
    <n v="4"/>
    <x v="3"/>
    <n v="7.3"/>
    <n v="2.71"/>
    <x v="2"/>
    <e v="#VALUE!"/>
  </r>
  <r>
    <s v="Mille Bornes"/>
    <n v="1954"/>
    <n v="2"/>
    <n v="6"/>
    <x v="1"/>
    <n v="5.7"/>
    <n v="1.25"/>
    <x v="0"/>
    <e v="#VALUE!"/>
  </r>
  <r>
    <s v="Mint Works"/>
    <n v="2017"/>
    <n v="1"/>
    <n v="4"/>
    <x v="13"/>
    <n v="7.03"/>
    <n v="1.65"/>
    <x v="1"/>
    <e v="#VALUE!"/>
  </r>
  <r>
    <s v="Modern Art"/>
    <n v="1992"/>
    <n v="3"/>
    <n v="5"/>
    <x v="1"/>
    <n v="7.4"/>
    <n v="2.2999999999999998"/>
    <x v="1"/>
    <e v="#VALUE!"/>
  </r>
  <r>
    <s v="Mombasa"/>
    <n v="2015"/>
    <n v="2"/>
    <n v="4"/>
    <x v="5"/>
    <n v="7.88"/>
    <n v="3.9"/>
    <x v="1"/>
    <e v="#VALUE!"/>
  </r>
  <r>
    <s v="Monopoly"/>
    <n v="1933"/>
    <n v="2"/>
    <n v="8"/>
    <x v="10"/>
    <n v="4.3899999999999997"/>
    <n v="1.65"/>
    <x v="0"/>
    <e v="#VALUE!"/>
  </r>
  <r>
    <s v="Monopoly Deal Card Game"/>
    <n v="2008"/>
    <n v="2"/>
    <n v="5"/>
    <x v="6"/>
    <n v="6.29"/>
    <n v="1.33"/>
    <x v="0"/>
    <e v="#VALUE!"/>
  </r>
  <r>
    <s v="Monty Python Fluxx"/>
    <n v="2008"/>
    <n v="2"/>
    <n v="6"/>
    <x v="11"/>
    <n v="6.06"/>
    <n v="1.35"/>
    <x v="5"/>
    <e v="#VALUE!"/>
  </r>
  <r>
    <s v="Morels"/>
    <n v="2012"/>
    <n v="2"/>
    <n v="2"/>
    <x v="0"/>
    <n v="7"/>
    <n v="1.74"/>
    <x v="0"/>
    <e v="#VALUE!"/>
  </r>
  <r>
    <s v="Mr. Jack"/>
    <n v="2006"/>
    <n v="2"/>
    <n v="2"/>
    <x v="0"/>
    <n v="7.01"/>
    <n v="2.1800000000000002"/>
    <x v="1"/>
    <e v="#VALUE!"/>
  </r>
  <r>
    <s v="Mr. Jack Pocket"/>
    <n v="2010"/>
    <n v="2"/>
    <n v="2"/>
    <x v="6"/>
    <n v="6.9"/>
    <n v="1.82"/>
    <x v="1"/>
    <e v="#VALUE!"/>
  </r>
  <r>
    <s v="Munchkin"/>
    <n v="2001"/>
    <n v="3"/>
    <n v="6"/>
    <x v="2"/>
    <n v="5.9"/>
    <n v="1.8"/>
    <x v="2"/>
    <e v="#VALUE!"/>
  </r>
  <r>
    <s v="Munchkin Cthulhu"/>
    <n v="2007"/>
    <n v="3"/>
    <n v="6"/>
    <x v="3"/>
    <n v="6.2"/>
    <n v="1.71"/>
    <x v="2"/>
    <e v="#VALUE!"/>
  </r>
  <r>
    <s v="Mysterium"/>
    <n v="2015"/>
    <n v="2"/>
    <n v="7"/>
    <x v="19"/>
    <n v="7.3"/>
    <n v="1.91"/>
    <x v="0"/>
    <e v="#VALUE!"/>
  </r>
  <r>
    <s v="Mystic Vale"/>
    <n v="2016"/>
    <n v="2"/>
    <n v="4"/>
    <x v="1"/>
    <n v="7.3"/>
    <n v="2.25"/>
    <x v="1"/>
    <e v="#VALUE!"/>
  </r>
  <r>
    <s v="Nations"/>
    <n v="2013"/>
    <n v="1"/>
    <n v="5"/>
    <x v="20"/>
    <n v="7.64"/>
    <n v="3.54"/>
    <x v="1"/>
    <e v="#VALUE!"/>
  </r>
  <r>
    <s v="Near and Far"/>
    <n v="2017"/>
    <n v="2"/>
    <n v="4"/>
    <x v="2"/>
    <n v="7.81"/>
    <n v="2.82"/>
    <x v="2"/>
    <e v="#VALUE!"/>
  </r>
  <r>
    <s v="Nemesis"/>
    <n v="2018"/>
    <n v="1"/>
    <n v="5"/>
    <x v="10"/>
    <n v="8.4"/>
    <n v="3.35"/>
    <x v="2"/>
    <e v="#VALUE!"/>
  </r>
  <r>
    <s v="Neuroshima Hex! 3.0"/>
    <n v="2006"/>
    <n v="1"/>
    <n v="4"/>
    <x v="0"/>
    <n v="7.4"/>
    <n v="2.61"/>
    <x v="1"/>
    <e v="#VALUE!"/>
  </r>
  <r>
    <s v="Nexus Ops"/>
    <n v="2005"/>
    <n v="2"/>
    <n v="4"/>
    <x v="3"/>
    <n v="7.22"/>
    <n v="2.23"/>
    <x v="2"/>
    <e v="#VALUE!"/>
  </r>
  <r>
    <s v="No Thanks!"/>
    <n v="2004"/>
    <n v="3"/>
    <n v="7"/>
    <x v="13"/>
    <n v="7.05"/>
    <n v="1.1399999999999999"/>
    <x v="0"/>
    <e v="#VALUE!"/>
  </r>
  <r>
    <s v="Not Alone"/>
    <n v="2016"/>
    <n v="2"/>
    <n v="7"/>
    <x v="1"/>
    <n v="7.02"/>
    <n v="1.96"/>
    <x v="1"/>
    <e v="#VALUE!"/>
  </r>
  <r>
    <s v="Notre Dame"/>
    <n v="2007"/>
    <n v="2"/>
    <n v="5"/>
    <x v="15"/>
    <n v="7.34"/>
    <n v="2.75"/>
    <x v="1"/>
    <e v="#VALUE!"/>
  </r>
  <r>
    <s v="Oh My Goods!"/>
    <n v="2015"/>
    <n v="2"/>
    <n v="4"/>
    <x v="0"/>
    <n v="7.01"/>
    <n v="2.2999999999999998"/>
    <x v="1"/>
    <e v="#VALUE!"/>
  </r>
  <r>
    <s v="On Mars"/>
    <n v="2020"/>
    <n v="1"/>
    <n v="4"/>
    <x v="5"/>
    <n v="8.3000000000000007"/>
    <n v="4.63"/>
    <x v="1"/>
    <e v="#VALUE!"/>
  </r>
  <r>
    <s v="One Deck Dungeon"/>
    <n v="2016"/>
    <n v="1"/>
    <n v="2"/>
    <x v="1"/>
    <n v="7.07"/>
    <n v="2.0499999999999998"/>
    <x v="2"/>
    <e v="#VALUE!"/>
  </r>
  <r>
    <s v="One Night Ultimate Werewolf"/>
    <n v="2014"/>
    <n v="3"/>
    <n v="10"/>
    <x v="14"/>
    <n v="7.14"/>
    <n v="1.39"/>
    <x v="5"/>
    <e v="#VALUE!"/>
  </r>
  <r>
    <s v="Onirim (Second Edition)"/>
    <n v="2014"/>
    <n v="1"/>
    <n v="2"/>
    <x v="6"/>
    <n v="7.09"/>
    <n v="1.57"/>
    <x v="0"/>
    <e v="#VALUE!"/>
  </r>
  <r>
    <s v="Onitama"/>
    <n v="2014"/>
    <n v="2"/>
    <n v="2"/>
    <x v="13"/>
    <n v="7.4"/>
    <n v="1.71"/>
    <x v="7"/>
    <e v="#VALUE!"/>
  </r>
  <r>
    <s v="Ora et Labora"/>
    <n v="2011"/>
    <n v="1"/>
    <n v="4"/>
    <x v="10"/>
    <n v="7.71"/>
    <n v="3.9"/>
    <x v="1"/>
    <e v="#VALUE!"/>
  </r>
  <r>
    <s v="Orléans"/>
    <n v="2014"/>
    <n v="2"/>
    <n v="4"/>
    <x v="3"/>
    <n v="8.09"/>
    <n v="3.05"/>
    <x v="1"/>
    <e v="#VALUE!"/>
  </r>
  <r>
    <s v="Othello"/>
    <n v="1883"/>
    <n v="2"/>
    <n v="2"/>
    <x v="0"/>
    <n v="6.1"/>
    <n v="2.1"/>
    <x v="7"/>
    <e v="#VALUE!"/>
  </r>
  <r>
    <s v="Paladins of the West Kingdom"/>
    <n v="2019"/>
    <n v="1"/>
    <n v="4"/>
    <x v="2"/>
    <n v="8.07"/>
    <n v="3.67"/>
    <x v="1"/>
    <e v="#VALUE!"/>
  </r>
  <r>
    <s v="Pandemic"/>
    <n v="2008"/>
    <n v="2"/>
    <n v="4"/>
    <x v="1"/>
    <n v="7.61"/>
    <n v="2.41"/>
    <x v="0"/>
    <e v="#VALUE!"/>
  </r>
  <r>
    <s v="Pandemic Legacy: Season 1"/>
    <n v="2015"/>
    <n v="2"/>
    <n v="4"/>
    <x v="4"/>
    <n v="8.61"/>
    <n v="2.84"/>
    <x v="1"/>
    <e v="#VALUE!"/>
  </r>
  <r>
    <s v="Pandemic Legacy: Season 2"/>
    <n v="2017"/>
    <n v="2"/>
    <n v="4"/>
    <x v="4"/>
    <n v="8.15"/>
    <n v="3.25"/>
    <x v="1"/>
    <e v="#VALUE!"/>
  </r>
  <r>
    <s v="Pandemic: Iberia"/>
    <n v="2016"/>
    <n v="2"/>
    <n v="5"/>
    <x v="1"/>
    <n v="7.92"/>
    <n v="2.58"/>
    <x v="1"/>
    <e v="#VALUE!"/>
  </r>
  <r>
    <s v="Pandemic: Reign of Cthulhu"/>
    <n v="2016"/>
    <n v="2"/>
    <n v="4"/>
    <x v="11"/>
    <n v="7.4"/>
    <n v="2.1800000000000002"/>
    <x v="1"/>
    <e v="#VALUE!"/>
  </r>
  <r>
    <s v="Pandemic: The Cure"/>
    <n v="2014"/>
    <n v="2"/>
    <n v="5"/>
    <x v="0"/>
    <n v="7.3"/>
    <n v="2.06"/>
    <x v="0"/>
    <e v="#VALUE!"/>
  </r>
  <r>
    <s v="Paperback"/>
    <n v="2014"/>
    <n v="2"/>
    <n v="5"/>
    <x v="1"/>
    <n v="7.18"/>
    <n v="1.99"/>
    <x v="0"/>
    <e v="#VALUE!"/>
  </r>
  <r>
    <s v="PARKS"/>
    <n v="2019"/>
    <n v="1"/>
    <n v="5"/>
    <x v="4"/>
    <n v="7.89"/>
    <n v="2.17"/>
    <x v="0"/>
    <e v="#VALUE!"/>
  </r>
  <r>
    <s v="Patchwork"/>
    <n v="2014"/>
    <n v="2"/>
    <n v="2"/>
    <x v="0"/>
    <n v="7.66"/>
    <n v="1.64"/>
    <x v="7"/>
    <e v="#VALUE!"/>
  </r>
  <r>
    <s v="Perudo"/>
    <n v="1800"/>
    <n v="2"/>
    <n v="6"/>
    <x v="0"/>
    <n v="6.9"/>
    <n v="1.26"/>
    <x v="0"/>
    <e v="#VALUE!"/>
  </r>
  <r>
    <s v="Phase 10"/>
    <n v="1982"/>
    <n v="2"/>
    <n v="6"/>
    <x v="1"/>
    <n v="5.13"/>
    <n v="1.29"/>
    <x v="0"/>
    <e v="#VALUE!"/>
  </r>
  <r>
    <s v="Photosynthesis"/>
    <n v="2017"/>
    <n v="2"/>
    <n v="4"/>
    <x v="4"/>
    <n v="7.13"/>
    <n v="2.2799999999999998"/>
    <x v="7"/>
    <e v="#VALUE!"/>
  </r>
  <r>
    <s v="Pickomino"/>
    <n v="2005"/>
    <n v="2"/>
    <n v="7"/>
    <x v="13"/>
    <n v="6.56"/>
    <n v="1.1499999999999999"/>
    <x v="0"/>
    <e v="#VALUE!"/>
  </r>
  <r>
    <s v="Pictionary"/>
    <n v="1985"/>
    <n v="3"/>
    <n v="16"/>
    <x v="3"/>
    <n v="5.83"/>
    <n v="1.24"/>
    <x v="5"/>
    <e v="#VALUE!"/>
  </r>
  <r>
    <s v="Pirate's Cove"/>
    <n v="2002"/>
    <n v="3"/>
    <n v="5"/>
    <x v="3"/>
    <n v="6.57"/>
    <n v="2.0099999999999998"/>
    <x v="0"/>
    <e v="#VALUE!"/>
  </r>
  <r>
    <s v="Pit"/>
    <n v="1903"/>
    <n v="3"/>
    <n v="8"/>
    <x v="3"/>
    <n v="6.39"/>
    <n v="1.1599999999999999"/>
    <x v="0"/>
    <e v="#VALUE!"/>
  </r>
  <r>
    <s v="PitchCar"/>
    <n v="1995"/>
    <n v="2"/>
    <n v="8"/>
    <x v="0"/>
    <n v="7.25"/>
    <n v="1.1299999999999999"/>
    <x v="0"/>
    <e v="#VALUE!"/>
  </r>
  <r>
    <s v="Point Salad"/>
    <n v="2019"/>
    <n v="2"/>
    <n v="6"/>
    <x v="0"/>
    <n v="7.33"/>
    <n v="1.1499999999999999"/>
    <x v="0"/>
    <e v="#VALUE!"/>
  </r>
  <r>
    <s v="Port Royal"/>
    <n v="2014"/>
    <n v="2"/>
    <n v="5"/>
    <x v="18"/>
    <n v="7.14"/>
    <n v="1.63"/>
    <x v="0"/>
    <e v="#VALUE!"/>
  </r>
  <r>
    <s v="Potion Explosion"/>
    <n v="2015"/>
    <n v="2"/>
    <n v="4"/>
    <x v="1"/>
    <n v="7.15"/>
    <n v="1.75"/>
    <x v="0"/>
    <e v="#VALUE!"/>
  </r>
  <r>
    <s v="Power Grid"/>
    <n v="2004"/>
    <n v="2"/>
    <n v="6"/>
    <x v="2"/>
    <n v="7.86"/>
    <n v="3.27"/>
    <x v="1"/>
    <e v="#VALUE!"/>
  </r>
  <r>
    <s v="Puerto Rico"/>
    <n v="2002"/>
    <n v="3"/>
    <n v="5"/>
    <x v="5"/>
    <n v="7.99"/>
    <n v="3.28"/>
    <x v="1"/>
    <e v="#VALUE!"/>
  </r>
  <r>
    <s v="Quadropolis"/>
    <n v="2016"/>
    <n v="2"/>
    <n v="4"/>
    <x v="4"/>
    <n v="7.29"/>
    <n v="2.21"/>
    <x v="0"/>
    <e v="#VALUE!"/>
  </r>
  <r>
    <s v="Quarriors!"/>
    <n v="2011"/>
    <n v="2"/>
    <n v="4"/>
    <x v="0"/>
    <n v="6.76"/>
    <n v="1.97"/>
    <x v="1"/>
    <e v="#VALUE!"/>
  </r>
  <r>
    <s v="Queendomino"/>
    <n v="2017"/>
    <n v="2"/>
    <n v="4"/>
    <x v="12"/>
    <n v="7.26"/>
    <n v="2.09"/>
    <x v="0"/>
    <e v="#VALUE!"/>
  </r>
  <r>
    <s v="Qwirkle"/>
    <n v="2006"/>
    <n v="2"/>
    <n v="4"/>
    <x v="1"/>
    <n v="6.78"/>
    <n v="1.63"/>
    <x v="7"/>
    <e v="#VALUE!"/>
  </r>
  <r>
    <s v="Qwixx"/>
    <n v="2012"/>
    <n v="2"/>
    <n v="5"/>
    <x v="6"/>
    <n v="6.88"/>
    <n v="1.1200000000000001"/>
    <x v="0"/>
    <e v="#VALUE!"/>
  </r>
  <r>
    <s v="Ra"/>
    <n v="1999"/>
    <n v="2"/>
    <n v="5"/>
    <x v="4"/>
    <n v="7.47"/>
    <n v="2.35"/>
    <x v="1"/>
    <e v="#VALUE!"/>
  </r>
  <r>
    <s v="Race for the Galaxy"/>
    <n v="2007"/>
    <n v="2"/>
    <n v="4"/>
    <x v="4"/>
    <n v="7.76"/>
    <n v="2.98"/>
    <x v="1"/>
    <e v="#VALUE!"/>
  </r>
  <r>
    <s v="Raiders of the North Sea"/>
    <n v="2015"/>
    <n v="2"/>
    <n v="4"/>
    <x v="8"/>
    <n v="7.79"/>
    <n v="2.5299999999999998"/>
    <x v="1"/>
    <e v="#VALUE!"/>
  </r>
  <r>
    <s v="Railways of the World"/>
    <n v="2005"/>
    <n v="2"/>
    <n v="6"/>
    <x v="2"/>
    <n v="7.69"/>
    <n v="3.02"/>
    <x v="1"/>
    <e v="#VALUE!"/>
  </r>
  <r>
    <s v="Rajas of the Ganges"/>
    <n v="2017"/>
    <n v="2"/>
    <n v="4"/>
    <x v="15"/>
    <n v="7.7"/>
    <n v="2.86"/>
    <x v="1"/>
    <e v="#VALUE!"/>
  </r>
  <r>
    <s v="Raptor"/>
    <n v="2015"/>
    <n v="2"/>
    <n v="2"/>
    <x v="0"/>
    <n v="7.33"/>
    <n v="2.06"/>
    <x v="0"/>
    <e v="#VALUE!"/>
  </r>
  <r>
    <s v="Red November"/>
    <n v="2008"/>
    <n v="1"/>
    <n v="8"/>
    <x v="2"/>
    <n v="6.3"/>
    <n v="2.0699999999999998"/>
    <x v="1"/>
    <e v="#VALUE!"/>
  </r>
  <r>
    <s v="Red7"/>
    <n v="2014"/>
    <n v="2"/>
    <n v="4"/>
    <x v="0"/>
    <n v="6.92"/>
    <n v="1.7"/>
    <x v="0"/>
    <e v="#VALUE!"/>
  </r>
  <r>
    <s v="Res Arcana"/>
    <n v="2019"/>
    <n v="2"/>
    <n v="4"/>
    <x v="4"/>
    <n v="7.8"/>
    <n v="2.59"/>
    <x v="1"/>
    <e v="#VALUE!"/>
  </r>
  <r>
    <s v="Rhino Hero"/>
    <n v="2011"/>
    <n v="2"/>
    <n v="5"/>
    <x v="6"/>
    <n v="6.95"/>
    <n v="1.03"/>
    <x v="4"/>
    <e v="#VALUE!"/>
  </r>
  <r>
    <s v="Rising Sun"/>
    <n v="2018"/>
    <n v="3"/>
    <n v="5"/>
    <x v="2"/>
    <n v="7.88"/>
    <n v="3.28"/>
    <x v="1"/>
    <e v="#VALUE!"/>
  </r>
  <r>
    <s v="Risk"/>
    <n v="1959"/>
    <n v="2"/>
    <n v="6"/>
    <x v="2"/>
    <n v="5.59"/>
    <n v="2.08"/>
    <x v="0"/>
    <e v="#VALUE!"/>
  </r>
  <r>
    <s v="Risk 2210 A.D."/>
    <n v="2001"/>
    <n v="2"/>
    <n v="5"/>
    <x v="9"/>
    <n v="6.7"/>
    <n v="2.72"/>
    <x v="6"/>
    <e v="#VALUE!"/>
  </r>
  <r>
    <s v="Risk Legacy"/>
    <n v="2011"/>
    <n v="3"/>
    <n v="5"/>
    <x v="4"/>
    <n v="7.42"/>
    <n v="2.59"/>
    <x v="1"/>
    <e v="#VALUE!"/>
  </r>
  <r>
    <s v="Rivals for Catan"/>
    <n v="2010"/>
    <n v="2"/>
    <n v="2"/>
    <x v="2"/>
    <n v="6.98"/>
    <n v="2.33"/>
    <x v="1"/>
    <e v="#VALUE!"/>
  </r>
  <r>
    <s v="RoboRally"/>
    <n v="1994"/>
    <n v="2"/>
    <n v="8"/>
    <x v="2"/>
    <n v="7.08"/>
    <n v="2.4300000000000002"/>
    <x v="1"/>
    <e v="#VALUE!"/>
  </r>
  <r>
    <s v="Roll for the Galaxy"/>
    <n v="2014"/>
    <n v="2"/>
    <n v="5"/>
    <x v="1"/>
    <n v="7.67"/>
    <n v="2.77"/>
    <x v="1"/>
    <e v="#VALUE!"/>
  </r>
  <r>
    <s v="Roll Player"/>
    <n v="2016"/>
    <n v="1"/>
    <n v="4"/>
    <x v="3"/>
    <n v="7.53"/>
    <n v="2.38"/>
    <x v="1"/>
    <e v="#VALUE!"/>
  </r>
  <r>
    <s v="Root"/>
    <n v="2018"/>
    <n v="2"/>
    <n v="4"/>
    <x v="3"/>
    <n v="8.1"/>
    <n v="3.67"/>
    <x v="1"/>
    <e v="#VALUE!"/>
  </r>
  <r>
    <s v="Rummikub"/>
    <n v="1977"/>
    <n v="2"/>
    <n v="4"/>
    <x v="4"/>
    <n v="6.38"/>
    <n v="1.75"/>
    <x v="0"/>
    <e v="#VALUE!"/>
  </r>
  <r>
    <s v="Runebound: Second Edition"/>
    <n v="2005"/>
    <n v="2"/>
    <n v="6"/>
    <x v="9"/>
    <n v="6.88"/>
    <n v="2.68"/>
    <x v="2"/>
    <e v="#VALUE!"/>
  </r>
  <r>
    <s v="Runewars"/>
    <n v="2010"/>
    <n v="2"/>
    <n v="4"/>
    <x v="9"/>
    <n v="7.63"/>
    <n v="3.78"/>
    <x v="1"/>
    <e v="#VALUE!"/>
  </r>
  <r>
    <s v="Russian Railroads"/>
    <n v="2013"/>
    <n v="2"/>
    <n v="4"/>
    <x v="2"/>
    <n v="7.77"/>
    <n v="3.41"/>
    <x v="1"/>
    <e v="#VALUE!"/>
  </r>
  <r>
    <s v="Saboteur"/>
    <n v="2004"/>
    <n v="3"/>
    <n v="10"/>
    <x v="0"/>
    <n v="6.58"/>
    <n v="1.33"/>
    <x v="0"/>
    <e v="#VALUE!"/>
  </r>
  <r>
    <s v="Sagrada"/>
    <n v="2017"/>
    <n v="1"/>
    <n v="4"/>
    <x v="1"/>
    <n v="7.53"/>
    <n v="1.93"/>
    <x v="7"/>
    <e v="#VALUE!"/>
  </r>
  <r>
    <s v="Saint Petersburg"/>
    <n v="2004"/>
    <n v="2"/>
    <n v="4"/>
    <x v="4"/>
    <n v="7.3"/>
    <n v="2.4700000000000002"/>
    <x v="1"/>
    <e v="#VALUE!"/>
  </r>
  <r>
    <s v="Samurai"/>
    <n v="1998"/>
    <n v="2"/>
    <n v="4"/>
    <x v="4"/>
    <n v="7.45"/>
    <n v="2.4900000000000002"/>
    <x v="1"/>
    <e v="#VALUE!"/>
  </r>
  <r>
    <s v="San Juan"/>
    <n v="2004"/>
    <n v="2"/>
    <n v="4"/>
    <x v="4"/>
    <n v="7.25"/>
    <n v="2.29"/>
    <x v="1"/>
    <e v="#VALUE!"/>
  </r>
  <r>
    <s v="Santorini"/>
    <n v="2016"/>
    <n v="2"/>
    <n v="4"/>
    <x v="13"/>
    <n v="7.48"/>
    <n v="1.73"/>
    <x v="7"/>
    <e v="#VALUE!"/>
  </r>
  <r>
    <s v="Scattergories"/>
    <n v="1988"/>
    <n v="2"/>
    <n v="6"/>
    <x v="0"/>
    <n v="6.2"/>
    <n v="1.38"/>
    <x v="5"/>
    <e v="#VALUE!"/>
  </r>
  <r>
    <s v="Schotten Totten"/>
    <n v="1999"/>
    <n v="2"/>
    <n v="2"/>
    <x v="13"/>
    <n v="7.31"/>
    <n v="1.74"/>
    <x v="0"/>
    <e v="#VALUE!"/>
  </r>
  <r>
    <s v="Scotland Yard"/>
    <n v="1983"/>
    <n v="3"/>
    <n v="6"/>
    <x v="1"/>
    <n v="6.51"/>
    <n v="1.96"/>
    <x v="0"/>
    <e v="#VALUE!"/>
  </r>
  <r>
    <s v="Scrabble"/>
    <n v="1948"/>
    <n v="2"/>
    <n v="4"/>
    <x v="3"/>
    <n v="6.28"/>
    <n v="2.09"/>
    <x v="0"/>
    <e v="#VALUE!"/>
  </r>
  <r>
    <s v="Scythe"/>
    <n v="2016"/>
    <n v="1"/>
    <n v="5"/>
    <x v="21"/>
    <n v="8.24"/>
    <n v="3.41"/>
    <x v="1"/>
    <e v="#VALUE!"/>
  </r>
  <r>
    <s v="Seasons"/>
    <n v="2012"/>
    <n v="2"/>
    <n v="4"/>
    <x v="4"/>
    <n v="7.41"/>
    <n v="2.77"/>
    <x v="1"/>
    <e v="#VALUE!"/>
  </r>
  <r>
    <s v="Secret Hitler"/>
    <n v="2016"/>
    <n v="5"/>
    <n v="10"/>
    <x v="1"/>
    <n v="7.57"/>
    <n v="1.69"/>
    <x v="5"/>
    <e v="#VALUE!"/>
  </r>
  <r>
    <s v="Sentinels of the Multiverse"/>
    <n v="2011"/>
    <n v="2"/>
    <n v="5"/>
    <x v="4"/>
    <n v="7.22"/>
    <n v="2.5"/>
    <x v="2"/>
    <e v="#VALUE!"/>
  </r>
  <r>
    <s v="Sequence"/>
    <n v="1982"/>
    <n v="2"/>
    <n v="12"/>
    <x v="0"/>
    <n v="6.02"/>
    <n v="1.34"/>
    <x v="0"/>
    <e v="#VALUE!"/>
  </r>
  <r>
    <s v="SET"/>
    <n v="1988"/>
    <n v="1"/>
    <n v="20"/>
    <x v="0"/>
    <n v="6.48"/>
    <n v="1.68"/>
    <x v="7"/>
    <e v="#VALUE!"/>
  </r>
  <r>
    <s v="Shadows over Camelot"/>
    <n v="2005"/>
    <n v="3"/>
    <n v="7"/>
    <x v="8"/>
    <n v="7.12"/>
    <n v="2.57"/>
    <x v="2"/>
    <e v="#VALUE!"/>
  </r>
  <r>
    <s v="Sheriff of Nottingham"/>
    <n v="2014"/>
    <n v="3"/>
    <n v="5"/>
    <x v="4"/>
    <n v="7.14"/>
    <n v="1.65"/>
    <x v="0"/>
    <e v="#VALUE!"/>
  </r>
  <r>
    <s v="Shogun"/>
    <n v="2006"/>
    <n v="3"/>
    <n v="5"/>
    <x v="2"/>
    <n v="7.54"/>
    <n v="3.37"/>
    <x v="1"/>
    <e v="#VALUE!"/>
  </r>
  <r>
    <s v="Skip-Bo"/>
    <n v="1967"/>
    <n v="2"/>
    <n v="6"/>
    <x v="13"/>
    <n v="5.47"/>
    <n v="1.22"/>
    <x v="0"/>
    <e v="#VALUE!"/>
  </r>
  <r>
    <s v="Skull"/>
    <n v="2011"/>
    <n v="3"/>
    <n v="6"/>
    <x v="1"/>
    <n v="7.21"/>
    <n v="1.1399999999999999"/>
    <x v="5"/>
    <e v="#VALUE!"/>
  </r>
  <r>
    <s v="Small World"/>
    <n v="2009"/>
    <n v="2"/>
    <n v="5"/>
    <x v="8"/>
    <n v="7.26"/>
    <n v="2.36"/>
    <x v="0"/>
    <e v="#VALUE!"/>
  </r>
  <r>
    <s v="Small World Underground"/>
    <n v="2011"/>
    <n v="2"/>
    <n v="5"/>
    <x v="3"/>
    <n v="7.27"/>
    <n v="2.59"/>
    <x v="1"/>
    <e v="#VALUE!"/>
  </r>
  <r>
    <s v="Smash Up"/>
    <n v="2012"/>
    <n v="2"/>
    <n v="4"/>
    <x v="1"/>
    <n v="6.75"/>
    <n v="2.06"/>
    <x v="1"/>
    <e v="#VALUE!"/>
  </r>
  <r>
    <s v="Smash Up: Awesome Level 9000"/>
    <n v="2013"/>
    <n v="2"/>
    <n v="2"/>
    <x v="1"/>
    <n v="7.25"/>
    <n v="2.13"/>
    <x v="0"/>
    <e v="#VALUE!"/>
  </r>
  <r>
    <s v="Space Alert"/>
    <n v="2008"/>
    <n v="1"/>
    <n v="5"/>
    <x v="0"/>
    <n v="7.44"/>
    <n v="2.96"/>
    <x v="2"/>
    <e v="#VALUE!"/>
  </r>
  <r>
    <s v="Space Base"/>
    <n v="2018"/>
    <n v="2"/>
    <n v="5"/>
    <x v="4"/>
    <n v="7.59"/>
    <n v="2.13"/>
    <x v="0"/>
    <e v="#VALUE!"/>
  </r>
  <r>
    <s v="Spirit Island"/>
    <n v="2017"/>
    <n v="1"/>
    <n v="4"/>
    <x v="2"/>
    <n v="8.35"/>
    <n v="4.01"/>
    <x v="1"/>
    <e v="#VALUE!"/>
  </r>
  <r>
    <s v="Splendor"/>
    <n v="2014"/>
    <n v="2"/>
    <n v="4"/>
    <x v="0"/>
    <n v="7.45"/>
    <n v="1.8"/>
    <x v="0"/>
    <e v="#VALUE!"/>
  </r>
  <r>
    <s v="Spot it!"/>
    <n v="2009"/>
    <n v="2"/>
    <n v="8"/>
    <x v="6"/>
    <n v="6.63"/>
    <n v="1.03"/>
    <x v="5"/>
    <e v="#VALUE!"/>
  </r>
  <r>
    <s v="Spyfall"/>
    <n v="2014"/>
    <n v="3"/>
    <n v="8"/>
    <x v="6"/>
    <n v="6.88"/>
    <n v="1.24"/>
    <x v="5"/>
    <e v="#VALUE!"/>
  </r>
  <r>
    <s v="Star Fluxx"/>
    <n v="2011"/>
    <n v="2"/>
    <n v="6"/>
    <x v="11"/>
    <n v="6.36"/>
    <n v="1.44"/>
    <x v="0"/>
    <e v="#VALUE!"/>
  </r>
  <r>
    <s v="Star Realms"/>
    <n v="2014"/>
    <n v="2"/>
    <n v="2"/>
    <x v="13"/>
    <n v="7.58"/>
    <n v="1.94"/>
    <x v="1"/>
    <e v="#VALUE!"/>
  </r>
  <r>
    <s v="Star Realms: Colony Wars"/>
    <n v="2015"/>
    <n v="2"/>
    <n v="2"/>
    <x v="13"/>
    <n v="7.87"/>
    <n v="1.9"/>
    <x v="1"/>
    <e v="#VALUE!"/>
  </r>
  <r>
    <s v="Star Wars: Imperial Assault"/>
    <n v="2014"/>
    <n v="1"/>
    <n v="5"/>
    <x v="2"/>
    <n v="8.02"/>
    <n v="3.3"/>
    <x v="2"/>
    <e v="#VALUE!"/>
  </r>
  <r>
    <s v="Star Wars: Outer Rim"/>
    <n v="2019"/>
    <n v="1"/>
    <n v="4"/>
    <x v="10"/>
    <n v="7.74"/>
    <n v="2.4700000000000002"/>
    <x v="2"/>
    <e v="#VALUE!"/>
  </r>
  <r>
    <s v="Star Wars: Rebellion"/>
    <n v="2016"/>
    <n v="2"/>
    <n v="4"/>
    <x v="9"/>
    <n v="8.42"/>
    <n v="3.71"/>
    <x v="2"/>
    <e v="#VALUE!"/>
  </r>
  <r>
    <s v="Star Wars: The Card Game"/>
    <n v="2012"/>
    <n v="2"/>
    <n v="2"/>
    <x v="4"/>
    <n v="7.19"/>
    <n v="2.96"/>
    <x v="3"/>
    <e v="#VALUE!"/>
  </r>
  <r>
    <s v="Steam"/>
    <n v="2009"/>
    <n v="3"/>
    <n v="5"/>
    <x v="3"/>
    <n v="7.59"/>
    <n v="3.46"/>
    <x v="1"/>
    <e v="#VALUE!"/>
  </r>
  <r>
    <s v="Stone Age"/>
    <n v="2008"/>
    <n v="2"/>
    <n v="4"/>
    <x v="3"/>
    <n v="7.57"/>
    <n v="2.48"/>
    <x v="0"/>
    <e v="#VALUE!"/>
  </r>
  <r>
    <s v="Stratego"/>
    <n v="1946"/>
    <n v="2"/>
    <n v="2"/>
    <x v="1"/>
    <n v="6.09"/>
    <n v="1.85"/>
    <x v="7"/>
    <e v="#VALUE!"/>
  </r>
  <r>
    <s v="Stuffed Fables"/>
    <n v="2018"/>
    <n v="2"/>
    <n v="4"/>
    <x v="3"/>
    <n v="7.57"/>
    <n v="2.41"/>
    <x v="2"/>
    <e v="#VALUE!"/>
  </r>
  <r>
    <s v="Suburbia"/>
    <n v="2012"/>
    <n v="1"/>
    <n v="4"/>
    <x v="3"/>
    <n v="7.52"/>
    <n v="2.78"/>
    <x v="1"/>
    <e v="#VALUE!"/>
  </r>
  <r>
    <s v="Summoner Wars: Master Set"/>
    <n v="2011"/>
    <n v="2"/>
    <n v="4"/>
    <x v="4"/>
    <n v="7.52"/>
    <n v="2.5099999999999998"/>
    <x v="3"/>
    <e v="#VALUE!"/>
  </r>
  <r>
    <s v="Survive: Escape from Atlantis!"/>
    <n v="1982"/>
    <n v="2"/>
    <n v="4"/>
    <x v="4"/>
    <n v="7.31"/>
    <n v="1.71"/>
    <x v="0"/>
    <e v="#VALUE!"/>
  </r>
  <r>
    <s v="Sushi Go Party!"/>
    <n v="2016"/>
    <n v="2"/>
    <n v="8"/>
    <x v="13"/>
    <n v="7.46"/>
    <n v="1.32"/>
    <x v="0"/>
    <e v="#VALUE!"/>
  </r>
  <r>
    <s v="Sushi Go!"/>
    <n v="2013"/>
    <n v="2"/>
    <n v="5"/>
    <x v="6"/>
    <n v="7.05"/>
    <n v="1.17"/>
    <x v="0"/>
    <e v="#VALUE!"/>
  </r>
  <r>
    <s v="T.I.M.E Stories"/>
    <n v="2015"/>
    <n v="2"/>
    <n v="4"/>
    <x v="3"/>
    <n v="7.55"/>
    <n v="2.61"/>
    <x v="2"/>
    <e v="#VALUE!"/>
  </r>
  <r>
    <s v="Taboo"/>
    <n v="1989"/>
    <n v="4"/>
    <n v="10"/>
    <x v="13"/>
    <n v="6.29"/>
    <n v="1.22"/>
    <x v="5"/>
    <e v="#VALUE!"/>
  </r>
  <r>
    <s v="Takenoko"/>
    <n v="2011"/>
    <n v="2"/>
    <n v="4"/>
    <x v="1"/>
    <n v="7.27"/>
    <n v="1.98"/>
    <x v="0"/>
    <e v="#VALUE!"/>
  </r>
  <r>
    <s v="Tales of the Arabian Nights"/>
    <n v="2009"/>
    <n v="1"/>
    <n v="6"/>
    <x v="2"/>
    <n v="7.2"/>
    <n v="2.16"/>
    <x v="2"/>
    <e v="#VALUE!"/>
  </r>
  <r>
    <s v="Talisman (Revised 4th Edition)"/>
    <n v="2007"/>
    <n v="2"/>
    <n v="6"/>
    <x v="3"/>
    <n v="6.52"/>
    <n v="2.19"/>
    <x v="2"/>
    <e v="#VALUE!"/>
  </r>
  <r>
    <s v="Tapestry"/>
    <n v="2019"/>
    <n v="1"/>
    <n v="5"/>
    <x v="2"/>
    <n v="7.49"/>
    <n v="2.88"/>
    <x v="1"/>
    <e v="#VALUE!"/>
  </r>
  <r>
    <s v="Targi"/>
    <n v="2012"/>
    <n v="2"/>
    <n v="2"/>
    <x v="4"/>
    <n v="7.64"/>
    <n v="2.35"/>
    <x v="1"/>
    <e v="#VALUE!"/>
  </r>
  <r>
    <s v="Telestrations"/>
    <n v="2009"/>
    <n v="4"/>
    <n v="8"/>
    <x v="0"/>
    <n v="7.4"/>
    <n v="1.08"/>
    <x v="5"/>
    <e v="#VALUE!"/>
  </r>
  <r>
    <s v="Teotihuacan: City of Gods"/>
    <n v="2018"/>
    <n v="1"/>
    <n v="4"/>
    <x v="2"/>
    <n v="7.95"/>
    <n v="3.77"/>
    <x v="1"/>
    <e v="#VALUE!"/>
  </r>
  <r>
    <s v="Terra Mystica"/>
    <n v="2012"/>
    <n v="2"/>
    <n v="5"/>
    <x v="5"/>
    <n v="8.14"/>
    <n v="3.96"/>
    <x v="1"/>
    <e v="#VALUE!"/>
  </r>
  <r>
    <s v="Terraforming Mars"/>
    <n v="2016"/>
    <n v="1"/>
    <n v="5"/>
    <x v="2"/>
    <n v="8.43"/>
    <n v="3.24"/>
    <x v="1"/>
    <e v="#VALUE!"/>
  </r>
  <r>
    <s v="Terror in Meeple City"/>
    <n v="2013"/>
    <n v="2"/>
    <n v="4"/>
    <x v="1"/>
    <n v="6.86"/>
    <n v="1.48"/>
    <x v="0"/>
    <e v="#VALUE!"/>
  </r>
  <r>
    <s v="That's Pretty Clever!"/>
    <n v="2018"/>
    <n v="1"/>
    <n v="4"/>
    <x v="0"/>
    <n v="7.64"/>
    <n v="1.89"/>
    <x v="0"/>
    <e v="#VALUE!"/>
  </r>
  <r>
    <s v="The 7th Continent"/>
    <n v="2017"/>
    <n v="1"/>
    <n v="4"/>
    <x v="22"/>
    <n v="8.15"/>
    <n v="2.87"/>
    <x v="2"/>
    <e v="#VALUE!"/>
  </r>
  <r>
    <s v="The Castles of Burgundy"/>
    <n v="2011"/>
    <n v="2"/>
    <n v="4"/>
    <x v="3"/>
    <n v="8.1300000000000008"/>
    <n v="3"/>
    <x v="1"/>
    <e v="#VALUE!"/>
  </r>
  <r>
    <s v="The Fox in the Forest"/>
    <n v="2017"/>
    <n v="2"/>
    <n v="2"/>
    <x v="0"/>
    <n v="7.25"/>
    <n v="1.59"/>
    <x v="0"/>
    <e v="#VALUE!"/>
  </r>
  <r>
    <s v="The Gallerist"/>
    <n v="2015"/>
    <n v="1"/>
    <n v="4"/>
    <x v="5"/>
    <n v="8.0399999999999991"/>
    <n v="4.28"/>
    <x v="1"/>
    <e v="#VALUE!"/>
  </r>
  <r>
    <s v="The Game"/>
    <n v="2015"/>
    <n v="1"/>
    <n v="5"/>
    <x v="13"/>
    <n v="6.71"/>
    <n v="1.26"/>
    <x v="0"/>
    <e v="#VALUE!"/>
  </r>
  <r>
    <s v="The Game of Life"/>
    <n v="1960"/>
    <n v="2"/>
    <n v="6"/>
    <x v="4"/>
    <n v="4.3"/>
    <n v="1.18"/>
    <x v="0"/>
    <e v="#VALUE!"/>
  </r>
  <r>
    <s v="The Great Dalmuti"/>
    <n v="1995"/>
    <n v="4"/>
    <n v="8"/>
    <x v="4"/>
    <n v="6.56"/>
    <n v="1.29"/>
    <x v="5"/>
    <e v="#VALUE!"/>
  </r>
  <r>
    <s v="The Grizzled"/>
    <n v="2015"/>
    <n v="2"/>
    <n v="5"/>
    <x v="0"/>
    <n v="7.2"/>
    <n v="1.94"/>
    <x v="2"/>
    <e v="#VALUE!"/>
  </r>
  <r>
    <s v="The Isle of Cats"/>
    <n v="2019"/>
    <n v="1"/>
    <n v="4"/>
    <x v="3"/>
    <n v="8.0399999999999991"/>
    <n v="2.3199999999999998"/>
    <x v="0"/>
    <e v="#VALUE!"/>
  </r>
  <r>
    <s v="The Lord of the Rings"/>
    <n v="2000"/>
    <n v="2"/>
    <n v="5"/>
    <x v="3"/>
    <n v="6.75"/>
    <n v="2.56"/>
    <x v="2"/>
    <e v="#VALUE!"/>
  </r>
  <r>
    <s v="The Manhattan Project"/>
    <n v="2012"/>
    <n v="2"/>
    <n v="5"/>
    <x v="2"/>
    <n v="7.36"/>
    <n v="2.96"/>
    <x v="1"/>
    <e v="#VALUE!"/>
  </r>
  <r>
    <s v="The Mind"/>
    <n v="2018"/>
    <n v="2"/>
    <n v="4"/>
    <x v="6"/>
    <n v="6.91"/>
    <n v="1.08"/>
    <x v="0"/>
    <e v="#VALUE!"/>
  </r>
  <r>
    <s v="The Pillars of the Earth"/>
    <n v="2006"/>
    <n v="2"/>
    <n v="4"/>
    <x v="2"/>
    <n v="7.29"/>
    <n v="2.82"/>
    <x v="1"/>
    <e v="#VALUE!"/>
  </r>
  <r>
    <s v="The Princes of Florence"/>
    <n v="2000"/>
    <n v="2"/>
    <n v="5"/>
    <x v="7"/>
    <n v="7.53"/>
    <n v="3.25"/>
    <x v="1"/>
    <e v="#VALUE!"/>
  </r>
  <r>
    <s v="The Quacks of Quedlinburg"/>
    <n v="2018"/>
    <n v="2"/>
    <n v="4"/>
    <x v="1"/>
    <n v="7.82"/>
    <n v="1.94"/>
    <x v="0"/>
    <e v="#VALUE!"/>
  </r>
  <r>
    <s v="The Quest for El Dorado"/>
    <n v="2017"/>
    <n v="2"/>
    <n v="4"/>
    <x v="4"/>
    <n v="7.61"/>
    <n v="1.93"/>
    <x v="0"/>
    <e v="#VALUE!"/>
  </r>
  <r>
    <s v="The Red Dragon Inn"/>
    <n v="2007"/>
    <n v="2"/>
    <n v="4"/>
    <x v="1"/>
    <n v="6.56"/>
    <n v="1.66"/>
    <x v="5"/>
    <e v="#VALUE!"/>
  </r>
  <r>
    <s v="The Resistance"/>
    <n v="2009"/>
    <n v="5"/>
    <n v="10"/>
    <x v="0"/>
    <n v="7.28"/>
    <n v="1.61"/>
    <x v="5"/>
    <e v="#VALUE!"/>
  </r>
  <r>
    <s v="The Resistance: Avalon"/>
    <n v="2012"/>
    <n v="5"/>
    <n v="10"/>
    <x v="0"/>
    <n v="7.58"/>
    <n v="1.77"/>
    <x v="5"/>
    <e v="#VALUE!"/>
  </r>
  <r>
    <s v="The Taverns of Tiefenthal"/>
    <n v="2019"/>
    <n v="2"/>
    <n v="4"/>
    <x v="4"/>
    <n v="7.63"/>
    <n v="2.66"/>
    <x v="1"/>
    <e v="#VALUE!"/>
  </r>
  <r>
    <s v="The Voyages of Marco Polo"/>
    <n v="2015"/>
    <n v="2"/>
    <n v="4"/>
    <x v="7"/>
    <n v="7.87"/>
    <n v="3.19"/>
    <x v="1"/>
    <e v="#VALUE!"/>
  </r>
  <r>
    <s v="Thebes"/>
    <n v="2007"/>
    <n v="2"/>
    <n v="4"/>
    <x v="4"/>
    <n v="7.14"/>
    <n v="2.16"/>
    <x v="0"/>
    <e v="#VALUE!"/>
  </r>
  <r>
    <s v="Through the Desert"/>
    <n v="1998"/>
    <n v="2"/>
    <n v="5"/>
    <x v="1"/>
    <n v="7.07"/>
    <n v="2.21"/>
    <x v="7"/>
    <e v="#VALUE!"/>
  </r>
  <r>
    <s v="Thunderstone"/>
    <n v="2009"/>
    <n v="1"/>
    <n v="5"/>
    <x v="4"/>
    <n v="6.94"/>
    <n v="2.5"/>
    <x v="1"/>
    <e v="#VALUE!"/>
  </r>
  <r>
    <s v="Thurn and Taxis"/>
    <n v="2006"/>
    <n v="2"/>
    <n v="4"/>
    <x v="4"/>
    <n v="7.1"/>
    <n v="2.2599999999999998"/>
    <x v="0"/>
    <e v="#VALUE!"/>
  </r>
  <r>
    <s v="Tichu"/>
    <n v="1991"/>
    <n v="4"/>
    <n v="4"/>
    <x v="4"/>
    <n v="7.58"/>
    <n v="2.34"/>
    <x v="1"/>
    <e v="#VALUE!"/>
  </r>
  <r>
    <s v="Ticket to Ride"/>
    <n v="2004"/>
    <n v="2"/>
    <n v="5"/>
    <x v="4"/>
    <n v="7.42"/>
    <n v="1.85"/>
    <x v="0"/>
    <e v="#VALUE!"/>
  </r>
  <r>
    <s v="Ticket to Ride: Europe"/>
    <n v="2005"/>
    <n v="2"/>
    <n v="5"/>
    <x v="4"/>
    <n v="7.55"/>
    <n v="1.94"/>
    <x v="0"/>
    <e v="#VALUE!"/>
  </r>
  <r>
    <s v="Ticket to Ride: Märklin"/>
    <n v="2006"/>
    <n v="2"/>
    <n v="5"/>
    <x v="4"/>
    <n v="7.41"/>
    <n v="2.2400000000000002"/>
    <x v="0"/>
    <e v="#VALUE!"/>
  </r>
  <r>
    <s v="Tides of Time"/>
    <n v="2015"/>
    <n v="2"/>
    <n v="2"/>
    <x v="13"/>
    <n v="6.66"/>
    <n v="1.58"/>
    <x v="1"/>
    <e v="#VALUE!"/>
  </r>
  <r>
    <s v="Tigris &amp; Euphrates"/>
    <n v="1997"/>
    <n v="2"/>
    <n v="4"/>
    <x v="3"/>
    <n v="7.7"/>
    <n v="3.51"/>
    <x v="1"/>
    <e v="#VALUE!"/>
  </r>
  <r>
    <s v="Tikal"/>
    <n v="1999"/>
    <n v="2"/>
    <n v="4"/>
    <x v="3"/>
    <n v="7.34"/>
    <n v="2.8"/>
    <x v="1"/>
    <e v="#VALUE!"/>
  </r>
  <r>
    <s v="Timeline: Inventions"/>
    <n v="2010"/>
    <n v="2"/>
    <n v="8"/>
    <x v="6"/>
    <n v="6.71"/>
    <n v="1.1100000000000001"/>
    <x v="0"/>
    <e v="#VALUE!"/>
  </r>
  <r>
    <s v="Tiny Epic Galaxies"/>
    <n v="2015"/>
    <n v="1"/>
    <n v="5"/>
    <x v="1"/>
    <n v="7.37"/>
    <n v="2.16"/>
    <x v="1"/>
    <e v="#VALUE!"/>
  </r>
  <r>
    <s v="Tiny Epic Kingdoms"/>
    <n v="2014"/>
    <n v="2"/>
    <n v="5"/>
    <x v="1"/>
    <n v="6.6"/>
    <n v="2.09"/>
    <x v="1"/>
    <e v="#VALUE!"/>
  </r>
  <r>
    <s v="Tiny Epic Quest"/>
    <n v="2017"/>
    <n v="1"/>
    <n v="4"/>
    <x v="4"/>
    <n v="7.06"/>
    <n v="2.66"/>
    <x v="1"/>
    <e v="#VALUE!"/>
  </r>
  <r>
    <s v="Tiny Epic Western"/>
    <n v="2016"/>
    <n v="1"/>
    <n v="4"/>
    <x v="1"/>
    <n v="6.68"/>
    <n v="2.87"/>
    <x v="1"/>
    <e v="#VALUE!"/>
  </r>
  <r>
    <s v="Tiny Epic Zombies"/>
    <n v="2018"/>
    <n v="1"/>
    <n v="5"/>
    <x v="1"/>
    <n v="7.03"/>
    <n v="2.4300000000000002"/>
    <x v="2"/>
    <e v="#VALUE!"/>
  </r>
  <r>
    <s v="Tiny Towns"/>
    <n v="2019"/>
    <n v="1"/>
    <n v="6"/>
    <x v="4"/>
    <n v="7.36"/>
    <n v="2.08"/>
    <x v="0"/>
    <e v="#VALUE!"/>
  </r>
  <r>
    <s v="Tobago"/>
    <n v="2009"/>
    <n v="2"/>
    <n v="4"/>
    <x v="4"/>
    <n v="7.11"/>
    <n v="2.12"/>
    <x v="0"/>
    <e v="#VALUE!"/>
  </r>
  <r>
    <s v="Tokaido"/>
    <n v="2012"/>
    <n v="2"/>
    <n v="5"/>
    <x v="1"/>
    <n v="6.99"/>
    <n v="1.75"/>
    <x v="0"/>
    <e v="#VALUE!"/>
  </r>
  <r>
    <s v="Torres"/>
    <n v="1999"/>
    <n v="2"/>
    <n v="4"/>
    <x v="4"/>
    <n v="7.12"/>
    <n v="2.87"/>
    <x v="7"/>
    <e v="#VALUE!"/>
  </r>
  <r>
    <s v="Trajan"/>
    <n v="2011"/>
    <n v="2"/>
    <n v="4"/>
    <x v="2"/>
    <n v="7.76"/>
    <n v="3.65"/>
    <x v="1"/>
    <e v="#VALUE!"/>
  </r>
  <r>
    <s v="Troyes"/>
    <n v="2010"/>
    <n v="2"/>
    <n v="4"/>
    <x v="3"/>
    <n v="7.76"/>
    <n v="3.46"/>
    <x v="1"/>
    <e v="#VALUE!"/>
  </r>
  <r>
    <s v="Tsuro"/>
    <n v="2004"/>
    <n v="2"/>
    <n v="8"/>
    <x v="13"/>
    <n v="6.67"/>
    <n v="1.24"/>
    <x v="7"/>
    <e v="#VALUE!"/>
  </r>
  <r>
    <s v="Tsuro of the Seas"/>
    <n v="2012"/>
    <n v="2"/>
    <n v="8"/>
    <x v="11"/>
    <n v="6.55"/>
    <n v="1.42"/>
    <x v="7"/>
    <e v="#VALUE!"/>
  </r>
  <r>
    <s v="Twilight Struggle"/>
    <n v="2005"/>
    <n v="2"/>
    <n v="2"/>
    <x v="10"/>
    <n v="8.2899999999999991"/>
    <n v="3.59"/>
    <x v="1"/>
    <e v="#VALUE!"/>
  </r>
  <r>
    <s v="Tzolk'in: The Mayan Calendar"/>
    <n v="2012"/>
    <n v="2"/>
    <n v="4"/>
    <x v="3"/>
    <n v="7.9"/>
    <n v="3.67"/>
    <x v="1"/>
    <e v="#VALUE!"/>
  </r>
  <r>
    <s v="Underwater Cities"/>
    <n v="2018"/>
    <n v="1"/>
    <n v="4"/>
    <x v="5"/>
    <n v="8.1300000000000008"/>
    <n v="3.58"/>
    <x v="1"/>
    <e v="#VALUE!"/>
  </r>
  <r>
    <s v="UNO"/>
    <n v="1971"/>
    <n v="2"/>
    <n v="10"/>
    <x v="0"/>
    <n v="5.4"/>
    <n v="1.1200000000000001"/>
    <x v="0"/>
    <e v="#VALUE!"/>
  </r>
  <r>
    <s v="Unstable Unicorns"/>
    <n v="2017"/>
    <n v="2"/>
    <n v="8"/>
    <x v="1"/>
    <n v="6.31"/>
    <n v="1.56"/>
    <x v="5"/>
    <e v="#VALUE!"/>
  </r>
  <r>
    <s v="Vast: The Crystal Caverns"/>
    <n v="2016"/>
    <n v="1"/>
    <n v="5"/>
    <x v="15"/>
    <n v="7.17"/>
    <n v="3.6"/>
    <x v="1"/>
    <e v="#VALUE!"/>
  </r>
  <r>
    <s v="Village"/>
    <n v="2011"/>
    <n v="2"/>
    <n v="4"/>
    <x v="3"/>
    <n v="7.53"/>
    <n v="3.07"/>
    <x v="1"/>
    <e v="#VALUE!"/>
  </r>
  <r>
    <s v="Viticulture Essential Edition"/>
    <n v="2015"/>
    <n v="1"/>
    <n v="6"/>
    <x v="3"/>
    <n v="8.08"/>
    <n v="2.91"/>
    <x v="1"/>
    <e v="#VALUE!"/>
  </r>
  <r>
    <s v="War of the Ring"/>
    <n v="2004"/>
    <n v="2"/>
    <n v="4"/>
    <x v="2"/>
    <n v="7.77"/>
    <n v="3.85"/>
    <x v="2"/>
    <e v="#VALUE!"/>
  </r>
  <r>
    <s v="Welcome to the Dungeon"/>
    <n v="2013"/>
    <n v="2"/>
    <n v="4"/>
    <x v="0"/>
    <n v="6.6"/>
    <n v="1.23"/>
    <x v="0"/>
    <e v="#VALUE!"/>
  </r>
  <r>
    <s v="Welcome To..."/>
    <n v="2018"/>
    <n v="1"/>
    <n v="100"/>
    <x v="12"/>
    <n v="7.61"/>
    <n v="1.82"/>
    <x v="0"/>
    <e v="#VALUE!"/>
  </r>
  <r>
    <s v="Western Legends"/>
    <n v="2018"/>
    <n v="2"/>
    <n v="6"/>
    <x v="3"/>
    <n v="7.66"/>
    <n v="2.78"/>
    <x v="2"/>
    <e v="#VALUE!"/>
  </r>
  <r>
    <s v="Wingspan"/>
    <n v="2019"/>
    <n v="1"/>
    <n v="5"/>
    <x v="23"/>
    <n v="8.11"/>
    <n v="2.42"/>
    <x v="0"/>
    <e v="#VALUE!"/>
  </r>
  <r>
    <s v="Wits &amp; Wagers"/>
    <n v="2005"/>
    <n v="3"/>
    <n v="7"/>
    <x v="12"/>
    <n v="6.93"/>
    <n v="1.21"/>
    <x v="5"/>
    <e v="#VALUE!"/>
  </r>
  <r>
    <s v="Wizard"/>
    <n v="1984"/>
    <n v="3"/>
    <n v="6"/>
    <x v="1"/>
    <n v="6.93"/>
    <n v="1.73"/>
    <x v="0"/>
    <e v="#VALUE!"/>
  </r>
  <r>
    <s v="XCOM: The Board Game"/>
    <n v="2015"/>
    <n v="1"/>
    <n v="4"/>
    <x v="2"/>
    <n v="7.06"/>
    <n v="2.9"/>
    <x v="2"/>
    <e v="#VALUE!"/>
  </r>
  <r>
    <s v="Xia: Legends of a Drift System"/>
    <n v="2014"/>
    <n v="3"/>
    <n v="5"/>
    <x v="10"/>
    <n v="7.86"/>
    <n v="3.17"/>
    <x v="1"/>
    <e v="#VALUE!"/>
  </r>
  <r>
    <s v="Yahtzee"/>
    <n v="1956"/>
    <n v="2"/>
    <n v="10"/>
    <x v="0"/>
    <n v="5.39"/>
    <n v="1.19"/>
    <x v="0"/>
    <e v="#VALUE!"/>
  </r>
  <r>
    <s v="Yokohama"/>
    <n v="2016"/>
    <n v="2"/>
    <n v="4"/>
    <x v="3"/>
    <n v="7.85"/>
    <n v="3.27"/>
    <x v="1"/>
    <e v="#VALUE!"/>
  </r>
  <r>
    <s v="Zombicide"/>
    <n v="2012"/>
    <n v="1"/>
    <n v="6"/>
    <x v="4"/>
    <n v="7.16"/>
    <n v="2.54"/>
    <x v="2"/>
    <e v="#VALUE!"/>
  </r>
  <r>
    <s v="Zombicide: Black Plague"/>
    <n v="2015"/>
    <n v="1"/>
    <n v="6"/>
    <x v="10"/>
    <n v="7.68"/>
    <n v="2.5099999999999998"/>
    <x v="2"/>
    <e v="#VALUE!"/>
  </r>
  <r>
    <s v="Zombie Dice"/>
    <n v="2010"/>
    <n v="2"/>
    <n v="99"/>
    <x v="13"/>
    <n v="6.21"/>
    <n v="1.1000000000000001"/>
    <x v="5"/>
    <e v="#VALUE!"/>
  </r>
  <r>
    <s v="Zombie Fluxx"/>
    <n v="2007"/>
    <n v="2"/>
    <n v="6"/>
    <x v="11"/>
    <n v="5.99"/>
    <n v="1.44"/>
    <x v="0"/>
    <e v="#VALUE!"/>
  </r>
  <r>
    <s v="Zombies!!!"/>
    <n v="2001"/>
    <n v="2"/>
    <n v="6"/>
    <x v="3"/>
    <n v="5.8"/>
    <n v="1.61"/>
    <x v="2"/>
    <e v="#VALUE!"/>
  </r>
  <r>
    <s v="Zooloretto"/>
    <n v="2007"/>
    <n v="2"/>
    <n v="5"/>
    <x v="1"/>
    <n v="6.83"/>
    <n v="1.86"/>
    <x v="0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3C4B3-E2D2-4FCB-BAEC-6DE67C116D59}" name="Vrtilna tabela1" cacheId="0" applyNumberFormats="0" applyBorderFormats="0" applyFontFormats="0" applyPatternFormats="0" applyAlignmentFormats="0" applyWidthHeightFormats="1" dataCaption="Vrednosti" updatedVersion="8" minRefreshableVersion="3" useAutoFormatting="1" itemPrintTitles="1" createdVersion="8" indent="0" outline="1" outlineData="1" multipleFieldFilters="0">
  <location ref="M6:P15" firstHeaderRow="0" firstDataRow="1" firstDataCol="1"/>
  <pivotFields count="9">
    <pivotField dataField="1" showAll="0"/>
    <pivotField showAll="0"/>
    <pivotField showAll="0"/>
    <pivotField showAll="0"/>
    <pivotField dataField="1" showAll="0">
      <items count="25">
        <item x="14"/>
        <item x="6"/>
        <item x="13"/>
        <item x="12"/>
        <item x="0"/>
        <item x="11"/>
        <item x="19"/>
        <item x="1"/>
        <item x="18"/>
        <item x="4"/>
        <item x="23"/>
        <item x="15"/>
        <item x="8"/>
        <item x="3"/>
        <item x="7"/>
        <item x="21"/>
        <item x="2"/>
        <item x="5"/>
        <item x="10"/>
        <item x="20"/>
        <item x="16"/>
        <item x="9"/>
        <item x="17"/>
        <item x="22"/>
        <item t="default"/>
      </items>
    </pivotField>
    <pivotField showAll="0"/>
    <pivotField dataField="1" showAll="0"/>
    <pivotField axis="axisRow" showAll="0">
      <items count="9">
        <item x="7"/>
        <item x="4"/>
        <item x="3"/>
        <item x="0"/>
        <item x="5"/>
        <item x="1"/>
        <item x="2"/>
        <item x="6"/>
        <item t="default"/>
      </items>
    </pivotField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Štetje od Name" fld="0" subtotal="count" baseField="0" baseItem="0"/>
    <dataField name="Povprečje od Play Time" fld="4" subtotal="average" baseField="0" baseItem="0"/>
    <dataField name="Povprečje od Complexity" fld="6" subtotal="average" baseField="0" baseItem="0"/>
  </dataFields>
  <formats count="2">
    <format dxfId="5">
      <pivotArea collapsedLevelsAreSubtotals="1" fieldPosition="0">
        <references count="2">
          <reference field="4294967294" count="2" selected="0">
            <x v="1"/>
            <x v="2"/>
          </reference>
          <reference field="7" count="0"/>
        </references>
      </pivotArea>
    </format>
    <format dxfId="4">
      <pivotArea field="7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BC787-5C75-4248-963C-FD661841AA76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Name" tableColumnId="1"/>
      <queryTableField id="2" name="Year" tableColumnId="2"/>
      <queryTableField id="3" name="Min Players" tableColumnId="3"/>
      <queryTableField id="4" name="Max Players" tableColumnId="4"/>
      <queryTableField id="5" name="Play Time" tableColumnId="5"/>
      <queryTableField id="6" name="Rating" tableColumnId="6"/>
      <queryTableField id="7" name="Complexity" tableColumnId="7"/>
      <queryTableField id="8" name="Category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6DF14-7E27-49E3-BF30-2EBFA1962181}" name="igre_si" displayName="igre_si" ref="A1:I453" tableType="queryTable" totalsRowShown="0">
  <autoFilter ref="A1:I453" xr:uid="{90D6DF14-7E27-49E3-BF30-2EBFA1962181}"/>
  <sortState xmlns:xlrd2="http://schemas.microsoft.com/office/spreadsheetml/2017/richdata2" ref="A2:H453">
    <sortCondition ref="A1:A453"/>
  </sortState>
  <tableColumns count="9">
    <tableColumn id="1" xr3:uid="{B8DCAD8B-EE75-4FE6-BF2A-CDEED89ECA36}" uniqueName="1" name="Name" queryTableFieldId="1" dataDxfId="3"/>
    <tableColumn id="2" xr3:uid="{EDC1ED5A-5206-4D61-9B6E-D72FB7BF2E4C}" uniqueName="2" name="Year" queryTableFieldId="2"/>
    <tableColumn id="3" xr3:uid="{C9D2D507-BAE5-4946-9DA9-89DE969C4A37}" uniqueName="3" name="Min Players" queryTableFieldId="3"/>
    <tableColumn id="4" xr3:uid="{8F1F3CE1-5266-4340-8177-397827FBF769}" uniqueName="4" name="Max Players" queryTableFieldId="4"/>
    <tableColumn id="5" xr3:uid="{E4984F9F-57C5-4BBF-BDF4-9A2877C0CDD0}" uniqueName="5" name="Play Time" queryTableFieldId="5"/>
    <tableColumn id="6" xr3:uid="{817AF555-B4E8-4225-8D91-BC2F9E0E32E6}" uniqueName="6" name="Rating" queryTableFieldId="6"/>
    <tableColumn id="7" xr3:uid="{288BB053-D827-4CE9-B911-5F970F3CC1C6}" uniqueName="7" name="Complexity" queryTableFieldId="7"/>
    <tableColumn id="8" xr3:uid="{C4A668CD-76BB-4BD4-8926-93CAFA16D863}" uniqueName="8" name="Category" queryTableFieldId="8" dataDxfId="2"/>
    <tableColumn id="9" xr3:uid="{C91801BF-FB9B-4342-A26F-148F87819A37}" uniqueName="9" name="Density" queryTableFieldId="9" dataDxfId="1">
      <calculatedColumnFormula>igre_si[[#This Row],[Play Time]]/(SQRT(igre_si[[#This Row],[Min Players]]*igre_si[[#This Row],[Max Players]]))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925F-A8EF-4065-80E9-E75F0274707B}">
  <dimension ref="A1:P453"/>
  <sheetViews>
    <sheetView tabSelected="1" workbookViewId="0">
      <selection activeCell="A2" sqref="A2"/>
    </sheetView>
  </sheetViews>
  <sheetFormatPr defaultRowHeight="14.4" x14ac:dyDescent="0.3"/>
  <cols>
    <col min="1" max="1" width="27" bestFit="1" customWidth="1"/>
    <col min="2" max="2" width="6.88671875" bestFit="1" customWidth="1"/>
    <col min="3" max="3" width="12.6640625" bestFit="1" customWidth="1"/>
    <col min="4" max="4" width="13" bestFit="1" customWidth="1"/>
    <col min="5" max="5" width="11.21875" bestFit="1" customWidth="1"/>
    <col min="6" max="6" width="8.44140625" bestFit="1" customWidth="1"/>
    <col min="7" max="7" width="12.77734375" bestFit="1" customWidth="1"/>
    <col min="8" max="8" width="11.88671875" bestFit="1" customWidth="1"/>
    <col min="9" max="9" width="10.5546875" bestFit="1" customWidth="1"/>
    <col min="13" max="13" width="14.44140625" bestFit="1" customWidth="1"/>
    <col min="14" max="14" width="13.88671875" bestFit="1" customWidth="1"/>
    <col min="15" max="15" width="20.33203125" bestFit="1" customWidth="1"/>
    <col min="16" max="16" width="22" bestFit="1" customWidth="1"/>
    <col min="17" max="27" width="3" bestFit="1" customWidth="1"/>
    <col min="28" max="36" width="4" bestFit="1" customWidth="1"/>
    <col min="37" max="37" width="5" bestFit="1" customWidth="1"/>
    <col min="38" max="38" width="12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467</v>
      </c>
    </row>
    <row r="2" spans="1:16" x14ac:dyDescent="0.3">
      <c r="A2" t="s">
        <v>322</v>
      </c>
      <c r="B2">
        <v>2017</v>
      </c>
      <c r="C2">
        <v>2</v>
      </c>
      <c r="D2">
        <v>5</v>
      </c>
      <c r="E2">
        <v>30</v>
      </c>
      <c r="F2">
        <v>7.05</v>
      </c>
      <c r="G2">
        <v>1.1200000000000001</v>
      </c>
      <c r="H2" t="s">
        <v>39</v>
      </c>
      <c r="I2" s="4">
        <f>igre_si[[#This Row],[Play Time]]/(SQRT(igre_si[[#This Row],[Min Players]]*igre_si[[#This Row],[Max Players]]))</f>
        <v>9.4868329805051381</v>
      </c>
    </row>
    <row r="3" spans="1:16" x14ac:dyDescent="0.3">
      <c r="A3" t="s">
        <v>361</v>
      </c>
      <c r="B3">
        <v>1994</v>
      </c>
      <c r="C3">
        <v>2</v>
      </c>
      <c r="D3">
        <v>10</v>
      </c>
      <c r="E3">
        <v>45</v>
      </c>
      <c r="F3">
        <v>6.92</v>
      </c>
      <c r="G3">
        <v>1.21</v>
      </c>
      <c r="H3" t="s">
        <v>39</v>
      </c>
      <c r="I3" s="4">
        <f>igre_si[[#This Row],[Play Time]]/(SQRT(igre_si[[#This Row],[Min Players]]*igre_si[[#This Row],[Max Players]]))</f>
        <v>10.062305898749052</v>
      </c>
    </row>
    <row r="4" spans="1:16" x14ac:dyDescent="0.3">
      <c r="A4" t="s">
        <v>105</v>
      </c>
      <c r="B4">
        <v>2010</v>
      </c>
      <c r="C4">
        <v>2</v>
      </c>
      <c r="D4">
        <v>7</v>
      </c>
      <c r="E4">
        <v>30</v>
      </c>
      <c r="F4">
        <v>7.75</v>
      </c>
      <c r="G4">
        <v>2.33</v>
      </c>
      <c r="H4" t="s">
        <v>39</v>
      </c>
      <c r="I4" s="4">
        <f>igre_si[[#This Row],[Play Time]]/(SQRT(igre_si[[#This Row],[Min Players]]*igre_si[[#This Row],[Max Players]]))</f>
        <v>8.0178372573727312</v>
      </c>
    </row>
    <row r="5" spans="1:16" x14ac:dyDescent="0.3">
      <c r="A5" t="s">
        <v>37</v>
      </c>
      <c r="B5">
        <v>2015</v>
      </c>
      <c r="C5">
        <v>2</v>
      </c>
      <c r="D5">
        <v>2</v>
      </c>
      <c r="E5">
        <v>30</v>
      </c>
      <c r="F5">
        <v>8.11</v>
      </c>
      <c r="G5">
        <v>2.23</v>
      </c>
      <c r="H5" t="s">
        <v>9</v>
      </c>
      <c r="I5" s="4">
        <f>igre_si[[#This Row],[Play Time]]/(SQRT(igre_si[[#This Row],[Min Players]]*igre_si[[#This Row],[Max Players]]))</f>
        <v>15</v>
      </c>
    </row>
    <row r="6" spans="1:16" x14ac:dyDescent="0.3">
      <c r="A6" t="s">
        <v>25</v>
      </c>
      <c r="B6">
        <v>2016</v>
      </c>
      <c r="C6">
        <v>1</v>
      </c>
      <c r="D6">
        <v>4</v>
      </c>
      <c r="E6">
        <v>120</v>
      </c>
      <c r="F6">
        <v>8.1999999999999993</v>
      </c>
      <c r="G6">
        <v>3.84</v>
      </c>
      <c r="H6" t="s">
        <v>9</v>
      </c>
      <c r="I6" s="4">
        <f>igre_si[[#This Row],[Play Time]]/(SQRT(igre_si[[#This Row],[Min Players]]*igre_si[[#This Row],[Max Players]]))</f>
        <v>60</v>
      </c>
      <c r="M6" s="1" t="s">
        <v>468</v>
      </c>
      <c r="N6" t="s">
        <v>471</v>
      </c>
      <c r="O6" t="s">
        <v>470</v>
      </c>
      <c r="P6" t="s">
        <v>472</v>
      </c>
    </row>
    <row r="7" spans="1:16" x14ac:dyDescent="0.3">
      <c r="A7" t="s">
        <v>192</v>
      </c>
      <c r="B7">
        <v>2015</v>
      </c>
      <c r="C7">
        <v>2</v>
      </c>
      <c r="D7">
        <v>4</v>
      </c>
      <c r="E7">
        <v>90</v>
      </c>
      <c r="F7">
        <v>7.43</v>
      </c>
      <c r="G7">
        <v>2.5299999999999998</v>
      </c>
      <c r="H7" t="s">
        <v>12</v>
      </c>
      <c r="I7" s="4">
        <f>igre_si[[#This Row],[Play Time]]/(SQRT(igre_si[[#This Row],[Min Players]]*igre_si[[#This Row],[Max Players]]))</f>
        <v>31.819805153394636</v>
      </c>
      <c r="M7" s="2" t="s">
        <v>81</v>
      </c>
      <c r="N7">
        <v>26</v>
      </c>
      <c r="O7" s="3">
        <v>40.96153846153846</v>
      </c>
      <c r="P7" s="3">
        <v>2.0103846153846159</v>
      </c>
    </row>
    <row r="8" spans="1:16" x14ac:dyDescent="0.3">
      <c r="A8" t="s">
        <v>230</v>
      </c>
      <c r="B8">
        <v>2014</v>
      </c>
      <c r="C8">
        <v>2</v>
      </c>
      <c r="D8">
        <v>4</v>
      </c>
      <c r="E8">
        <v>60</v>
      </c>
      <c r="F8">
        <v>7.33</v>
      </c>
      <c r="G8">
        <v>2.3199999999999998</v>
      </c>
      <c r="H8" t="s">
        <v>9</v>
      </c>
      <c r="I8" s="4">
        <f>igre_si[[#This Row],[Play Time]]/(SQRT(igre_si[[#This Row],[Min Players]]*igre_si[[#This Row],[Max Players]]))</f>
        <v>21.213203435596423</v>
      </c>
      <c r="M8" s="2" t="s">
        <v>355</v>
      </c>
      <c r="N8">
        <v>5</v>
      </c>
      <c r="O8" s="3">
        <v>20</v>
      </c>
      <c r="P8" s="3">
        <v>1.0740000000000001</v>
      </c>
    </row>
    <row r="9" spans="1:16" x14ac:dyDescent="0.3">
      <c r="A9" t="s">
        <v>225</v>
      </c>
      <c r="B9">
        <v>1964</v>
      </c>
      <c r="C9">
        <v>2</v>
      </c>
      <c r="D9">
        <v>6</v>
      </c>
      <c r="E9">
        <v>90</v>
      </c>
      <c r="F9">
        <v>7.34</v>
      </c>
      <c r="G9">
        <v>2.5</v>
      </c>
      <c r="H9" t="s">
        <v>9</v>
      </c>
      <c r="I9" s="4">
        <f>igre_si[[#This Row],[Play Time]]/(SQRT(igre_si[[#This Row],[Min Players]]*igre_si[[#This Row],[Max Players]]))</f>
        <v>25.98076211353316</v>
      </c>
      <c r="M9" s="2" t="s">
        <v>28</v>
      </c>
      <c r="N9">
        <v>9</v>
      </c>
      <c r="O9" s="3">
        <v>56.666666666666664</v>
      </c>
      <c r="P9" s="3">
        <v>2.8955555555555552</v>
      </c>
    </row>
    <row r="10" spans="1:16" x14ac:dyDescent="0.3">
      <c r="A10" t="s">
        <v>54</v>
      </c>
      <c r="B10">
        <v>2016</v>
      </c>
      <c r="C10">
        <v>1</v>
      </c>
      <c r="D10">
        <v>4</v>
      </c>
      <c r="E10">
        <v>60</v>
      </c>
      <c r="F10">
        <v>8.02</v>
      </c>
      <c r="G10">
        <v>2.76</v>
      </c>
      <c r="H10" t="s">
        <v>9</v>
      </c>
      <c r="I10" s="4">
        <f>igre_si[[#This Row],[Play Time]]/(SQRT(igre_si[[#This Row],[Min Players]]*igre_si[[#This Row],[Max Players]]))</f>
        <v>30</v>
      </c>
      <c r="M10" s="2" t="s">
        <v>39</v>
      </c>
      <c r="N10">
        <v>151</v>
      </c>
      <c r="O10" s="3">
        <v>42.894039735099341</v>
      </c>
      <c r="P10" s="3">
        <v>1.711920529801324</v>
      </c>
    </row>
    <row r="11" spans="1:16" x14ac:dyDescent="0.3">
      <c r="A11" t="s">
        <v>60</v>
      </c>
      <c r="B11">
        <v>2007</v>
      </c>
      <c r="C11">
        <v>1</v>
      </c>
      <c r="D11">
        <v>5</v>
      </c>
      <c r="E11">
        <v>150</v>
      </c>
      <c r="F11">
        <v>7.94</v>
      </c>
      <c r="G11">
        <v>3.64</v>
      </c>
      <c r="H11" t="s">
        <v>9</v>
      </c>
      <c r="I11" s="4">
        <f>igre_si[[#This Row],[Play Time]]/(SQRT(igre_si[[#This Row],[Min Players]]*igre_si[[#This Row],[Max Players]]))</f>
        <v>67.082039324993687</v>
      </c>
      <c r="M11" s="2" t="s">
        <v>92</v>
      </c>
      <c r="N11">
        <v>40</v>
      </c>
      <c r="O11" s="3">
        <v>32.375</v>
      </c>
      <c r="P11" s="3">
        <v>1.3355000000000001</v>
      </c>
    </row>
    <row r="12" spans="1:16" x14ac:dyDescent="0.3">
      <c r="A12" t="s">
        <v>49</v>
      </c>
      <c r="B12">
        <v>2016</v>
      </c>
      <c r="C12">
        <v>1</v>
      </c>
      <c r="D12">
        <v>4</v>
      </c>
      <c r="E12">
        <v>120</v>
      </c>
      <c r="F12">
        <v>8.0399999999999991</v>
      </c>
      <c r="G12">
        <v>3.5</v>
      </c>
      <c r="H12" t="s">
        <v>9</v>
      </c>
      <c r="I12" s="4">
        <f>igre_si[[#This Row],[Play Time]]/(SQRT(igre_si[[#This Row],[Min Players]]*igre_si[[#This Row],[Max Players]]))</f>
        <v>60</v>
      </c>
      <c r="M12" s="2" t="s">
        <v>9</v>
      </c>
      <c r="N12">
        <v>166</v>
      </c>
      <c r="O12" s="3">
        <v>97.620481927710841</v>
      </c>
      <c r="P12" s="3">
        <v>2.9964457831325291</v>
      </c>
    </row>
    <row r="13" spans="1:16" x14ac:dyDescent="0.3">
      <c r="A13" t="s">
        <v>121</v>
      </c>
      <c r="B13">
        <v>2014</v>
      </c>
      <c r="C13">
        <v>2</v>
      </c>
      <c r="D13">
        <v>4</v>
      </c>
      <c r="E13">
        <v>120</v>
      </c>
      <c r="F13">
        <v>7.67</v>
      </c>
      <c r="G13">
        <v>3.9</v>
      </c>
      <c r="H13" t="s">
        <v>9</v>
      </c>
      <c r="I13" s="4">
        <f>igre_si[[#This Row],[Play Time]]/(SQRT(igre_si[[#This Row],[Min Players]]*igre_si[[#This Row],[Max Players]]))</f>
        <v>42.426406871192846</v>
      </c>
      <c r="M13" s="2" t="s">
        <v>12</v>
      </c>
      <c r="N13">
        <v>51</v>
      </c>
      <c r="O13" s="3">
        <v>132.05882352941177</v>
      </c>
      <c r="P13" s="3">
        <v>2.6398039215686269</v>
      </c>
    </row>
    <row r="14" spans="1:16" x14ac:dyDescent="0.3">
      <c r="A14" t="s">
        <v>336</v>
      </c>
      <c r="B14">
        <v>2003</v>
      </c>
      <c r="C14">
        <v>2</v>
      </c>
      <c r="D14">
        <v>6</v>
      </c>
      <c r="E14">
        <v>60</v>
      </c>
      <c r="F14">
        <v>7.03</v>
      </c>
      <c r="G14">
        <v>2.1</v>
      </c>
      <c r="H14" t="s">
        <v>39</v>
      </c>
      <c r="I14" s="4">
        <f>igre_si[[#This Row],[Play Time]]/(SQRT(igre_si[[#This Row],[Min Players]]*igre_si[[#This Row],[Max Players]]))</f>
        <v>17.320508075688775</v>
      </c>
      <c r="M14" s="2" t="s">
        <v>94</v>
      </c>
      <c r="N14">
        <v>4</v>
      </c>
      <c r="O14" s="3">
        <v>135</v>
      </c>
      <c r="P14" s="3">
        <v>2.68</v>
      </c>
    </row>
    <row r="15" spans="1:16" x14ac:dyDescent="0.3">
      <c r="A15" t="s">
        <v>202</v>
      </c>
      <c r="B15">
        <v>2010</v>
      </c>
      <c r="C15">
        <v>2</v>
      </c>
      <c r="D15">
        <v>4</v>
      </c>
      <c r="E15">
        <v>90</v>
      </c>
      <c r="F15">
        <v>7.41</v>
      </c>
      <c r="G15">
        <v>2.57</v>
      </c>
      <c r="H15" t="s">
        <v>9</v>
      </c>
      <c r="I15" s="4">
        <f>igre_si[[#This Row],[Play Time]]/(SQRT(igre_si[[#This Row],[Min Players]]*igre_si[[#This Row],[Max Players]]))</f>
        <v>31.819805153394636</v>
      </c>
      <c r="M15" s="2" t="s">
        <v>469</v>
      </c>
      <c r="N15">
        <v>452</v>
      </c>
      <c r="O15" s="3">
        <v>72.847345132743357</v>
      </c>
      <c r="P15" s="3">
        <v>2.2973008849557521</v>
      </c>
    </row>
    <row r="16" spans="1:16" x14ac:dyDescent="0.3">
      <c r="A16" t="s">
        <v>41</v>
      </c>
      <c r="B16">
        <v>2017</v>
      </c>
      <c r="C16">
        <v>1</v>
      </c>
      <c r="D16">
        <v>4</v>
      </c>
      <c r="E16">
        <v>120</v>
      </c>
      <c r="F16">
        <v>8.1</v>
      </c>
      <c r="G16">
        <v>4</v>
      </c>
      <c r="H16" t="s">
        <v>9</v>
      </c>
      <c r="I16" s="4">
        <f>igre_si[[#This Row],[Play Time]]/(SQRT(igre_si[[#This Row],[Min Players]]*igre_si[[#This Row],[Max Players]]))</f>
        <v>60</v>
      </c>
    </row>
    <row r="17" spans="1:9" x14ac:dyDescent="0.3">
      <c r="A17" t="s">
        <v>71</v>
      </c>
      <c r="B17">
        <v>2012</v>
      </c>
      <c r="C17">
        <v>2</v>
      </c>
      <c r="D17">
        <v>2</v>
      </c>
      <c r="E17">
        <v>45</v>
      </c>
      <c r="F17">
        <v>7.87</v>
      </c>
      <c r="G17">
        <v>3.38</v>
      </c>
      <c r="H17" t="s">
        <v>28</v>
      </c>
      <c r="I17" s="4">
        <f>igre_si[[#This Row],[Play Time]]/(SQRT(igre_si[[#This Row],[Min Players]]*igre_si[[#This Row],[Max Players]]))</f>
        <v>22.5</v>
      </c>
    </row>
    <row r="18" spans="1:9" x14ac:dyDescent="0.3">
      <c r="A18" t="s">
        <v>377</v>
      </c>
      <c r="B18">
        <v>2005</v>
      </c>
      <c r="C18">
        <v>2</v>
      </c>
      <c r="D18">
        <v>4</v>
      </c>
      <c r="E18">
        <v>15</v>
      </c>
      <c r="F18">
        <v>6.82</v>
      </c>
      <c r="G18">
        <v>1.05</v>
      </c>
      <c r="H18" t="s">
        <v>355</v>
      </c>
      <c r="I18" s="4">
        <f>igre_si[[#This Row],[Play Time]]/(SQRT(igre_si[[#This Row],[Min Players]]*igre_si[[#This Row],[Max Players]]))</f>
        <v>5.3033008588991057</v>
      </c>
    </row>
    <row r="19" spans="1:9" x14ac:dyDescent="0.3">
      <c r="A19" t="s">
        <v>450</v>
      </c>
      <c r="B19">
        <v>1999</v>
      </c>
      <c r="C19">
        <v>4</v>
      </c>
      <c r="D19">
        <v>10</v>
      </c>
      <c r="E19">
        <v>30</v>
      </c>
      <c r="F19">
        <v>5.81</v>
      </c>
      <c r="G19">
        <v>1.1599999999999999</v>
      </c>
      <c r="H19" t="s">
        <v>92</v>
      </c>
      <c r="I19" s="4">
        <f>igre_si[[#This Row],[Play Time]]/(SQRT(igre_si[[#This Row],[Min Players]]*igre_si[[#This Row],[Max Players]]))</f>
        <v>4.7434164902525691</v>
      </c>
    </row>
    <row r="20" spans="1:9" x14ac:dyDescent="0.3">
      <c r="A20" t="s">
        <v>249</v>
      </c>
      <c r="B20">
        <v>2014</v>
      </c>
      <c r="C20">
        <v>2</v>
      </c>
      <c r="D20">
        <v>4</v>
      </c>
      <c r="E20">
        <v>100</v>
      </c>
      <c r="F20">
        <v>7.28</v>
      </c>
      <c r="G20">
        <v>3.69</v>
      </c>
      <c r="H20" t="s">
        <v>9</v>
      </c>
      <c r="I20" s="4">
        <f>igre_si[[#This Row],[Play Time]]/(SQRT(igre_si[[#This Row],[Min Players]]*igre_si[[#This Row],[Max Players]]))</f>
        <v>35.35533905932737</v>
      </c>
    </row>
    <row r="21" spans="1:9" x14ac:dyDescent="0.3">
      <c r="A21" t="s">
        <v>213</v>
      </c>
      <c r="B21">
        <v>2015</v>
      </c>
      <c r="C21">
        <v>2</v>
      </c>
      <c r="D21">
        <v>4</v>
      </c>
      <c r="E21">
        <v>30</v>
      </c>
      <c r="F21">
        <v>7.39</v>
      </c>
      <c r="G21">
        <v>2.16</v>
      </c>
      <c r="H21" t="s">
        <v>39</v>
      </c>
      <c r="I21" s="4">
        <f>igre_si[[#This Row],[Play Time]]/(SQRT(igre_si[[#This Row],[Min Players]]*igre_si[[#This Row],[Max Players]]))</f>
        <v>10.606601717798211</v>
      </c>
    </row>
    <row r="22" spans="1:9" x14ac:dyDescent="0.3">
      <c r="A22" t="s">
        <v>112</v>
      </c>
      <c r="B22">
        <v>2014</v>
      </c>
      <c r="C22">
        <v>2</v>
      </c>
      <c r="D22">
        <v>4</v>
      </c>
      <c r="E22">
        <v>60</v>
      </c>
      <c r="F22">
        <v>7.71</v>
      </c>
      <c r="G22">
        <v>2.5299999999999998</v>
      </c>
      <c r="H22" t="s">
        <v>12</v>
      </c>
      <c r="I22" s="4">
        <f>igre_si[[#This Row],[Play Time]]/(SQRT(igre_si[[#This Row],[Min Players]]*igre_si[[#This Row],[Max Players]]))</f>
        <v>21.213203435596423</v>
      </c>
    </row>
    <row r="23" spans="1:9" x14ac:dyDescent="0.3">
      <c r="A23" t="s">
        <v>79</v>
      </c>
      <c r="B23">
        <v>2018</v>
      </c>
      <c r="C23">
        <v>1</v>
      </c>
      <c r="D23">
        <v>5</v>
      </c>
      <c r="E23">
        <v>80</v>
      </c>
      <c r="F23">
        <v>7.83</v>
      </c>
      <c r="G23">
        <v>2.77</v>
      </c>
      <c r="H23" t="s">
        <v>9</v>
      </c>
      <c r="I23" s="4">
        <f>igre_si[[#This Row],[Play Time]]/(SQRT(igre_si[[#This Row],[Min Players]]*igre_si[[#This Row],[Max Players]]))</f>
        <v>35.777087639996637</v>
      </c>
    </row>
    <row r="24" spans="1:9" x14ac:dyDescent="0.3">
      <c r="A24" t="s">
        <v>253</v>
      </c>
      <c r="B24">
        <v>2005</v>
      </c>
      <c r="C24">
        <v>1</v>
      </c>
      <c r="D24">
        <v>8</v>
      </c>
      <c r="E24">
        <v>240</v>
      </c>
      <c r="F24">
        <v>7.26</v>
      </c>
      <c r="G24">
        <v>3.58</v>
      </c>
      <c r="H24" t="s">
        <v>12</v>
      </c>
      <c r="I24" s="4">
        <f>igre_si[[#This Row],[Play Time]]/(SQRT(igre_si[[#This Row],[Min Players]]*igre_si[[#This Row],[Max Players]]))</f>
        <v>84.852813742385692</v>
      </c>
    </row>
    <row r="25" spans="1:9" x14ac:dyDescent="0.3">
      <c r="A25" t="s">
        <v>27</v>
      </c>
      <c r="B25">
        <v>2016</v>
      </c>
      <c r="C25">
        <v>1</v>
      </c>
      <c r="D25">
        <v>2</v>
      </c>
      <c r="E25">
        <v>120</v>
      </c>
      <c r="F25">
        <v>8.17</v>
      </c>
      <c r="G25">
        <v>3.44</v>
      </c>
      <c r="H25" t="s">
        <v>28</v>
      </c>
      <c r="I25" s="4">
        <f>igre_si[[#This Row],[Play Time]]/(SQRT(igre_si[[#This Row],[Min Players]]*igre_si[[#This Row],[Max Players]]))</f>
        <v>84.852813742385692</v>
      </c>
    </row>
    <row r="26" spans="1:9" x14ac:dyDescent="0.3">
      <c r="A26" t="s">
        <v>332</v>
      </c>
      <c r="B26">
        <v>2010</v>
      </c>
      <c r="C26">
        <v>1</v>
      </c>
      <c r="D26">
        <v>4</v>
      </c>
      <c r="E26">
        <v>30</v>
      </c>
      <c r="F26">
        <v>7.03</v>
      </c>
      <c r="G26">
        <v>2.15</v>
      </c>
      <c r="H26" t="s">
        <v>9</v>
      </c>
      <c r="I26" s="4">
        <f>igre_si[[#This Row],[Play Time]]/(SQRT(igre_si[[#This Row],[Min Players]]*igre_si[[#This Row],[Max Players]]))</f>
        <v>15</v>
      </c>
    </row>
    <row r="27" spans="1:9" x14ac:dyDescent="0.3">
      <c r="A27" t="s">
        <v>214</v>
      </c>
      <c r="B27">
        <v>2009</v>
      </c>
      <c r="C27">
        <v>1</v>
      </c>
      <c r="D27">
        <v>4</v>
      </c>
      <c r="E27">
        <v>120</v>
      </c>
      <c r="F27">
        <v>7.38</v>
      </c>
      <c r="G27">
        <v>3.13</v>
      </c>
      <c r="H27" t="s">
        <v>9</v>
      </c>
      <c r="I27" s="4">
        <f>igre_si[[#This Row],[Play Time]]/(SQRT(igre_si[[#This Row],[Min Players]]*igre_si[[#This Row],[Max Players]]))</f>
        <v>60</v>
      </c>
    </row>
    <row r="28" spans="1:9" x14ac:dyDescent="0.3">
      <c r="A28" t="s">
        <v>408</v>
      </c>
      <c r="B28">
        <v>1981</v>
      </c>
      <c r="C28">
        <v>2</v>
      </c>
      <c r="D28">
        <v>5</v>
      </c>
      <c r="E28">
        <v>180</v>
      </c>
      <c r="F28">
        <v>6.56</v>
      </c>
      <c r="G28">
        <v>3.04</v>
      </c>
      <c r="H28" t="s">
        <v>94</v>
      </c>
      <c r="I28" s="4">
        <f>igre_si[[#This Row],[Play Time]]/(SQRT(igre_si[[#This Row],[Min Players]]*igre_si[[#This Row],[Max Players]]))</f>
        <v>56.920997883030822</v>
      </c>
    </row>
    <row r="29" spans="1:9" x14ac:dyDescent="0.3">
      <c r="A29" t="s">
        <v>82</v>
      </c>
      <c r="B29">
        <v>2017</v>
      </c>
      <c r="C29">
        <v>2</v>
      </c>
      <c r="D29">
        <v>4</v>
      </c>
      <c r="E29">
        <v>45</v>
      </c>
      <c r="F29">
        <v>7.83</v>
      </c>
      <c r="G29">
        <v>1.77</v>
      </c>
      <c r="H29" t="s">
        <v>81</v>
      </c>
      <c r="I29" s="4">
        <f>igre_si[[#This Row],[Play Time]]/(SQRT(igre_si[[#This Row],[Min Players]]*igre_si[[#This Row],[Max Players]]))</f>
        <v>15.909902576697318</v>
      </c>
    </row>
    <row r="30" spans="1:9" x14ac:dyDescent="0.3">
      <c r="A30" t="s">
        <v>194</v>
      </c>
      <c r="B30">
        <v>2018</v>
      </c>
      <c r="C30">
        <v>2</v>
      </c>
      <c r="D30">
        <v>4</v>
      </c>
      <c r="E30">
        <v>45</v>
      </c>
      <c r="F30">
        <v>7.42</v>
      </c>
      <c r="G30">
        <v>1.98</v>
      </c>
      <c r="H30" t="s">
        <v>39</v>
      </c>
      <c r="I30" s="4">
        <f>igre_si[[#This Row],[Play Time]]/(SQRT(igre_si[[#This Row],[Min Players]]*igre_si[[#This Row],[Max Players]]))</f>
        <v>15.909902576697318</v>
      </c>
    </row>
    <row r="31" spans="1:9" x14ac:dyDescent="0.3">
      <c r="A31" t="s">
        <v>80</v>
      </c>
      <c r="B31">
        <v>2019</v>
      </c>
      <c r="C31">
        <v>2</v>
      </c>
      <c r="D31">
        <v>4</v>
      </c>
      <c r="E31">
        <v>45</v>
      </c>
      <c r="F31">
        <v>7.83</v>
      </c>
      <c r="G31">
        <v>2.0499999999999998</v>
      </c>
      <c r="H31" t="s">
        <v>81</v>
      </c>
      <c r="I31" s="4">
        <f>igre_si[[#This Row],[Play Time]]/(SQRT(igre_si[[#This Row],[Min Players]]*igre_si[[#This Row],[Max Players]]))</f>
        <v>15.909902576697318</v>
      </c>
    </row>
    <row r="32" spans="1:9" x14ac:dyDescent="0.3">
      <c r="A32" t="s">
        <v>411</v>
      </c>
      <c r="B32">
        <v>-3000</v>
      </c>
      <c r="C32">
        <v>2</v>
      </c>
      <c r="D32">
        <v>2</v>
      </c>
      <c r="E32">
        <v>30</v>
      </c>
      <c r="F32">
        <v>6.54</v>
      </c>
      <c r="G32">
        <v>2.02</v>
      </c>
      <c r="H32" t="s">
        <v>81</v>
      </c>
      <c r="I32" s="4">
        <f>igre_si[[#This Row],[Play Time]]/(SQRT(igre_si[[#This Row],[Min Players]]*igre_si[[#This Row],[Max Players]]))</f>
        <v>15</v>
      </c>
    </row>
    <row r="33" spans="1:9" x14ac:dyDescent="0.3">
      <c r="A33" t="s">
        <v>423</v>
      </c>
      <c r="B33">
        <v>2006</v>
      </c>
      <c r="C33">
        <v>1</v>
      </c>
      <c r="D33">
        <v>8</v>
      </c>
      <c r="E33">
        <v>15</v>
      </c>
      <c r="F33">
        <v>6.36</v>
      </c>
      <c r="G33">
        <v>1.33</v>
      </c>
      <c r="H33" t="s">
        <v>39</v>
      </c>
      <c r="I33" s="4">
        <f>igre_si[[#This Row],[Play Time]]/(SQRT(igre_si[[#This Row],[Min Players]]*igre_si[[#This Row],[Max Players]]))</f>
        <v>5.3033008588991057</v>
      </c>
    </row>
    <row r="34" spans="1:9" x14ac:dyDescent="0.3">
      <c r="A34" t="s">
        <v>415</v>
      </c>
      <c r="B34">
        <v>2002</v>
      </c>
      <c r="C34">
        <v>4</v>
      </c>
      <c r="D34">
        <v>7</v>
      </c>
      <c r="E34">
        <v>40</v>
      </c>
      <c r="F34">
        <v>6.51</v>
      </c>
      <c r="G34">
        <v>1.64</v>
      </c>
      <c r="H34" t="s">
        <v>92</v>
      </c>
      <c r="I34" s="4">
        <f>igre_si[[#This Row],[Play Time]]/(SQRT(igre_si[[#This Row],[Min Players]]*igre_si[[#This Row],[Max Players]]))</f>
        <v>7.5592894601845444</v>
      </c>
    </row>
    <row r="35" spans="1:9" x14ac:dyDescent="0.3">
      <c r="A35" t="s">
        <v>351</v>
      </c>
      <c r="B35">
        <v>2013</v>
      </c>
      <c r="C35">
        <v>3</v>
      </c>
      <c r="D35">
        <v>8</v>
      </c>
      <c r="E35">
        <v>15</v>
      </c>
      <c r="F35">
        <v>6.95</v>
      </c>
      <c r="G35">
        <v>1.27</v>
      </c>
      <c r="H35" t="s">
        <v>92</v>
      </c>
      <c r="I35" s="4">
        <f>igre_si[[#This Row],[Play Time]]/(SQRT(igre_si[[#This Row],[Min Players]]*igre_si[[#This Row],[Max Players]]))</f>
        <v>3.061862178478973</v>
      </c>
    </row>
    <row r="36" spans="1:9" x14ac:dyDescent="0.3">
      <c r="A36" t="s">
        <v>221</v>
      </c>
      <c r="B36">
        <v>2017</v>
      </c>
      <c r="C36">
        <v>2</v>
      </c>
      <c r="D36">
        <v>4</v>
      </c>
      <c r="E36">
        <v>45</v>
      </c>
      <c r="F36">
        <v>7.36</v>
      </c>
      <c r="G36">
        <v>1.64</v>
      </c>
      <c r="H36" t="s">
        <v>39</v>
      </c>
      <c r="I36" s="4">
        <f>igre_si[[#This Row],[Play Time]]/(SQRT(igre_si[[#This Row],[Min Players]]*igre_si[[#This Row],[Max Players]]))</f>
        <v>15.909902576697318</v>
      </c>
    </row>
    <row r="37" spans="1:9" x14ac:dyDescent="0.3">
      <c r="A37" t="s">
        <v>196</v>
      </c>
      <c r="B37">
        <v>2000</v>
      </c>
      <c r="C37">
        <v>2</v>
      </c>
      <c r="D37">
        <v>2</v>
      </c>
      <c r="E37">
        <v>30</v>
      </c>
      <c r="F37">
        <v>7.42</v>
      </c>
      <c r="G37">
        <v>1.9</v>
      </c>
      <c r="H37" t="s">
        <v>9</v>
      </c>
      <c r="I37" s="4">
        <f>igre_si[[#This Row],[Play Time]]/(SQRT(igre_si[[#This Row],[Min Players]]*igre_si[[#This Row],[Max Players]]))</f>
        <v>15</v>
      </c>
    </row>
    <row r="38" spans="1:9" x14ac:dyDescent="0.3">
      <c r="A38" t="s">
        <v>219</v>
      </c>
      <c r="B38">
        <v>2006</v>
      </c>
      <c r="C38">
        <v>2</v>
      </c>
      <c r="D38">
        <v>2</v>
      </c>
      <c r="E38">
        <v>60</v>
      </c>
      <c r="F38">
        <v>7.36</v>
      </c>
      <c r="G38">
        <v>2.76</v>
      </c>
      <c r="H38" t="s">
        <v>12</v>
      </c>
      <c r="I38" s="4">
        <f>igre_si[[#This Row],[Play Time]]/(SQRT(igre_si[[#This Row],[Min Players]]*igre_si[[#This Row],[Max Players]]))</f>
        <v>30</v>
      </c>
    </row>
    <row r="39" spans="1:9" x14ac:dyDescent="0.3">
      <c r="A39" t="s">
        <v>464</v>
      </c>
      <c r="B39">
        <v>1931</v>
      </c>
      <c r="C39">
        <v>2</v>
      </c>
      <c r="D39">
        <v>2</v>
      </c>
      <c r="E39">
        <v>30</v>
      </c>
      <c r="F39">
        <v>4.6500000000000004</v>
      </c>
      <c r="G39">
        <v>1.22</v>
      </c>
      <c r="H39" t="s">
        <v>355</v>
      </c>
      <c r="I39" s="4">
        <f>igre_si[[#This Row],[Play Time]]/(SQRT(igre_si[[#This Row],[Min Players]]*igre_si[[#This Row],[Max Players]]))</f>
        <v>15</v>
      </c>
    </row>
    <row r="40" spans="1:9" x14ac:dyDescent="0.3">
      <c r="A40" t="s">
        <v>315</v>
      </c>
      <c r="B40">
        <v>2004</v>
      </c>
      <c r="C40">
        <v>3</v>
      </c>
      <c r="D40">
        <v>6</v>
      </c>
      <c r="E40">
        <v>60</v>
      </c>
      <c r="F40">
        <v>7.06</v>
      </c>
      <c r="G40">
        <v>2.39</v>
      </c>
      <c r="H40" t="s">
        <v>12</v>
      </c>
      <c r="I40" s="4">
        <f>igre_si[[#This Row],[Play Time]]/(SQRT(igre_si[[#This Row],[Min Players]]*igre_si[[#This Row],[Max Players]]))</f>
        <v>14.142135623730951</v>
      </c>
    </row>
    <row r="41" spans="1:9" x14ac:dyDescent="0.3">
      <c r="A41" t="s">
        <v>333</v>
      </c>
      <c r="B41">
        <v>2015</v>
      </c>
      <c r="C41">
        <v>1</v>
      </c>
      <c r="D41">
        <v>7</v>
      </c>
      <c r="E41">
        <v>25</v>
      </c>
      <c r="F41">
        <v>7.03</v>
      </c>
      <c r="G41">
        <v>1.82</v>
      </c>
      <c r="H41" t="s">
        <v>39</v>
      </c>
      <c r="I41" s="4">
        <f>igre_si[[#This Row],[Play Time]]/(SQRT(igre_si[[#This Row],[Min Players]]*igre_si[[#This Row],[Max Players]]))</f>
        <v>9.4491118252306805</v>
      </c>
    </row>
    <row r="42" spans="1:9" x14ac:dyDescent="0.3">
      <c r="A42" t="s">
        <v>281</v>
      </c>
      <c r="B42">
        <v>2007</v>
      </c>
      <c r="C42">
        <v>2</v>
      </c>
      <c r="D42">
        <v>4</v>
      </c>
      <c r="E42">
        <v>30</v>
      </c>
      <c r="F42">
        <v>7.19</v>
      </c>
      <c r="G42">
        <v>1.68</v>
      </c>
      <c r="H42" t="s">
        <v>39</v>
      </c>
      <c r="I42" s="4">
        <f>igre_si[[#This Row],[Play Time]]/(SQRT(igre_si[[#This Row],[Min Players]]*igre_si[[#This Row],[Max Players]]))</f>
        <v>10.606601717798211</v>
      </c>
    </row>
    <row r="43" spans="1:9" x14ac:dyDescent="0.3">
      <c r="A43" t="s">
        <v>370</v>
      </c>
      <c r="B43">
        <v>2000</v>
      </c>
      <c r="C43">
        <v>2</v>
      </c>
      <c r="D43">
        <v>4</v>
      </c>
      <c r="E43">
        <v>20</v>
      </c>
      <c r="F43">
        <v>6.88</v>
      </c>
      <c r="G43">
        <v>1.77</v>
      </c>
      <c r="H43" t="s">
        <v>81</v>
      </c>
      <c r="I43" s="4">
        <f>igre_si[[#This Row],[Play Time]]/(SQRT(igre_si[[#This Row],[Min Players]]*igre_si[[#This Row],[Max Players]]))</f>
        <v>7.0710678118654746</v>
      </c>
    </row>
    <row r="44" spans="1:9" x14ac:dyDescent="0.3">
      <c r="A44" t="s">
        <v>56</v>
      </c>
      <c r="B44">
        <v>2015</v>
      </c>
      <c r="C44">
        <v>2</v>
      </c>
      <c r="D44">
        <v>4</v>
      </c>
      <c r="E44">
        <v>90</v>
      </c>
      <c r="F44">
        <v>8</v>
      </c>
      <c r="G44">
        <v>2.88</v>
      </c>
      <c r="H44" t="s">
        <v>9</v>
      </c>
      <c r="I44" s="4">
        <f>igre_si[[#This Row],[Play Time]]/(SQRT(igre_si[[#This Row],[Min Players]]*igre_si[[#This Row],[Max Players]]))</f>
        <v>31.819805153394636</v>
      </c>
    </row>
    <row r="45" spans="1:9" x14ac:dyDescent="0.3">
      <c r="A45" t="s">
        <v>434</v>
      </c>
      <c r="B45">
        <v>1972</v>
      </c>
      <c r="C45">
        <v>1</v>
      </c>
      <c r="D45">
        <v>8</v>
      </c>
      <c r="E45">
        <v>10</v>
      </c>
      <c r="F45">
        <v>6.21</v>
      </c>
      <c r="G45">
        <v>1.49</v>
      </c>
      <c r="H45" t="s">
        <v>39</v>
      </c>
      <c r="I45" s="4">
        <f>igre_si[[#This Row],[Play Time]]/(SQRT(igre_si[[#This Row],[Min Players]]*igre_si[[#This Row],[Max Players]]))</f>
        <v>3.5355339059327373</v>
      </c>
    </row>
    <row r="46" spans="1:9" x14ac:dyDescent="0.3">
      <c r="A46" t="s">
        <v>331</v>
      </c>
      <c r="B46">
        <v>1997</v>
      </c>
      <c r="C46">
        <v>2</v>
      </c>
      <c r="D46">
        <v>7</v>
      </c>
      <c r="E46">
        <v>45</v>
      </c>
      <c r="F46">
        <v>7.04</v>
      </c>
      <c r="G46">
        <v>1.67</v>
      </c>
      <c r="H46" t="s">
        <v>39</v>
      </c>
      <c r="I46" s="4">
        <f>igre_si[[#This Row],[Play Time]]/(SQRT(igre_si[[#This Row],[Min Players]]*igre_si[[#This Row],[Max Players]]))</f>
        <v>12.026755886059098</v>
      </c>
    </row>
    <row r="47" spans="1:9" x14ac:dyDescent="0.3">
      <c r="A47" t="s">
        <v>157</v>
      </c>
      <c r="B47">
        <v>2013</v>
      </c>
      <c r="C47">
        <v>2</v>
      </c>
      <c r="D47">
        <v>4</v>
      </c>
      <c r="E47">
        <v>120</v>
      </c>
      <c r="F47">
        <v>7.56</v>
      </c>
      <c r="G47">
        <v>3.74</v>
      </c>
      <c r="H47" t="s">
        <v>9</v>
      </c>
      <c r="I47" s="4">
        <f>igre_si[[#This Row],[Play Time]]/(SQRT(igre_si[[#This Row],[Min Players]]*igre_si[[#This Row],[Max Players]]))</f>
        <v>42.426406871192846</v>
      </c>
    </row>
    <row r="48" spans="1:9" x14ac:dyDescent="0.3">
      <c r="A48" t="s">
        <v>13</v>
      </c>
      <c r="B48">
        <v>2018</v>
      </c>
      <c r="C48">
        <v>2</v>
      </c>
      <c r="D48">
        <v>4</v>
      </c>
      <c r="E48">
        <v>120</v>
      </c>
      <c r="F48">
        <v>8.66</v>
      </c>
      <c r="G48">
        <v>3.91</v>
      </c>
      <c r="H48" t="s">
        <v>9</v>
      </c>
      <c r="I48" s="4">
        <f>igre_si[[#This Row],[Play Time]]/(SQRT(igre_si[[#This Row],[Min Players]]*igre_si[[#This Row],[Max Players]]))</f>
        <v>42.426406871192846</v>
      </c>
    </row>
    <row r="49" spans="1:9" x14ac:dyDescent="0.3">
      <c r="A49" t="s">
        <v>29</v>
      </c>
      <c r="B49">
        <v>2007</v>
      </c>
      <c r="C49">
        <v>2</v>
      </c>
      <c r="D49">
        <v>4</v>
      </c>
      <c r="E49">
        <v>120</v>
      </c>
      <c r="F49">
        <v>8.17</v>
      </c>
      <c r="G49">
        <v>3.86</v>
      </c>
      <c r="H49" t="s">
        <v>9</v>
      </c>
      <c r="I49" s="4">
        <f>igre_si[[#This Row],[Play Time]]/(SQRT(igre_si[[#This Row],[Min Players]]*igre_si[[#This Row],[Max Players]]))</f>
        <v>42.426406871192846</v>
      </c>
    </row>
    <row r="50" spans="1:9" x14ac:dyDescent="0.3">
      <c r="A50" t="s">
        <v>278</v>
      </c>
      <c r="B50">
        <v>2015</v>
      </c>
      <c r="C50">
        <v>2</v>
      </c>
      <c r="D50">
        <v>5</v>
      </c>
      <c r="E50">
        <v>75</v>
      </c>
      <c r="F50">
        <v>7.19</v>
      </c>
      <c r="G50">
        <v>2.4</v>
      </c>
      <c r="H50" t="s">
        <v>39</v>
      </c>
      <c r="I50" s="4">
        <f>igre_si[[#This Row],[Play Time]]/(SQRT(igre_si[[#This Row],[Min Players]]*igre_si[[#This Row],[Max Players]]))</f>
        <v>23.717082451262844</v>
      </c>
    </row>
    <row r="51" spans="1:9" x14ac:dyDescent="0.3">
      <c r="A51" t="s">
        <v>193</v>
      </c>
      <c r="B51">
        <v>2013</v>
      </c>
      <c r="C51">
        <v>2</v>
      </c>
      <c r="D51">
        <v>4</v>
      </c>
      <c r="E51">
        <v>60</v>
      </c>
      <c r="F51">
        <v>7.43</v>
      </c>
      <c r="G51">
        <v>2.75</v>
      </c>
      <c r="H51" t="s">
        <v>9</v>
      </c>
      <c r="I51" s="4">
        <f>igre_si[[#This Row],[Play Time]]/(SQRT(igre_si[[#This Row],[Min Players]]*igre_si[[#This Row],[Max Players]]))</f>
        <v>21.213203435596423</v>
      </c>
    </row>
    <row r="52" spans="1:9" x14ac:dyDescent="0.3">
      <c r="A52" t="s">
        <v>185</v>
      </c>
      <c r="B52">
        <v>2017</v>
      </c>
      <c r="C52">
        <v>2</v>
      </c>
      <c r="D52">
        <v>4</v>
      </c>
      <c r="E52">
        <v>60</v>
      </c>
      <c r="F52">
        <v>7.46</v>
      </c>
      <c r="G52">
        <v>2.27</v>
      </c>
      <c r="H52" t="s">
        <v>39</v>
      </c>
      <c r="I52" s="4">
        <f>igre_si[[#This Row],[Play Time]]/(SQRT(igre_si[[#This Row],[Min Players]]*igre_si[[#This Row],[Max Players]]))</f>
        <v>21.213203435596423</v>
      </c>
    </row>
    <row r="53" spans="1:9" x14ac:dyDescent="0.3">
      <c r="A53" t="s">
        <v>161</v>
      </c>
      <c r="B53">
        <v>2015</v>
      </c>
      <c r="C53">
        <v>1</v>
      </c>
      <c r="D53">
        <v>4</v>
      </c>
      <c r="E53">
        <v>90</v>
      </c>
      <c r="F53">
        <v>7.54</v>
      </c>
      <c r="G53">
        <v>2.31</v>
      </c>
      <c r="H53" t="s">
        <v>39</v>
      </c>
      <c r="I53" s="4">
        <f>igre_si[[#This Row],[Play Time]]/(SQRT(igre_si[[#This Row],[Min Players]]*igre_si[[#This Row],[Max Players]]))</f>
        <v>45</v>
      </c>
    </row>
    <row r="54" spans="1:9" x14ac:dyDescent="0.3">
      <c r="A54" t="s">
        <v>367</v>
      </c>
      <c r="B54">
        <v>2014</v>
      </c>
      <c r="C54">
        <v>4</v>
      </c>
      <c r="D54">
        <v>8</v>
      </c>
      <c r="E54">
        <v>30</v>
      </c>
      <c r="F54">
        <v>6.89</v>
      </c>
      <c r="G54">
        <v>1.26</v>
      </c>
      <c r="H54" t="s">
        <v>92</v>
      </c>
      <c r="I54" s="4">
        <f>igre_si[[#This Row],[Play Time]]/(SQRT(igre_si[[#This Row],[Min Players]]*igre_si[[#This Row],[Max Players]]))</f>
        <v>5.3033008588991057</v>
      </c>
    </row>
    <row r="55" spans="1:9" x14ac:dyDescent="0.3">
      <c r="A55" t="s">
        <v>309</v>
      </c>
      <c r="B55">
        <v>2015</v>
      </c>
      <c r="C55">
        <v>2</v>
      </c>
      <c r="D55">
        <v>4</v>
      </c>
      <c r="E55">
        <v>45</v>
      </c>
      <c r="F55">
        <v>7.1</v>
      </c>
      <c r="G55">
        <v>1.82</v>
      </c>
      <c r="H55" t="s">
        <v>39</v>
      </c>
      <c r="I55" s="4">
        <f>igre_si[[#This Row],[Play Time]]/(SQRT(igre_si[[#This Row],[Min Players]]*igre_si[[#This Row],[Max Players]]))</f>
        <v>15.909902576697318</v>
      </c>
    </row>
    <row r="56" spans="1:9" x14ac:dyDescent="0.3">
      <c r="A56" t="s">
        <v>328</v>
      </c>
      <c r="B56">
        <v>2014</v>
      </c>
      <c r="C56">
        <v>2</v>
      </c>
      <c r="D56">
        <v>8</v>
      </c>
      <c r="E56">
        <v>30</v>
      </c>
      <c r="F56">
        <v>7.05</v>
      </c>
      <c r="G56">
        <v>1.48</v>
      </c>
      <c r="H56" t="s">
        <v>39</v>
      </c>
      <c r="I56" s="4">
        <f>igre_si[[#This Row],[Play Time]]/(SQRT(igre_si[[#This Row],[Min Players]]*igre_si[[#This Row],[Max Players]]))</f>
        <v>7.5</v>
      </c>
    </row>
    <row r="57" spans="1:9" x14ac:dyDescent="0.3">
      <c r="A57" t="s">
        <v>373</v>
      </c>
      <c r="B57">
        <v>1980</v>
      </c>
      <c r="C57">
        <v>2</v>
      </c>
      <c r="D57">
        <v>4</v>
      </c>
      <c r="E57">
        <v>30</v>
      </c>
      <c r="F57">
        <v>6.85</v>
      </c>
      <c r="G57">
        <v>1.1599999999999999</v>
      </c>
      <c r="H57" t="s">
        <v>39</v>
      </c>
      <c r="I57" s="4">
        <f>igre_si[[#This Row],[Play Time]]/(SQRT(igre_si[[#This Row],[Min Players]]*igre_si[[#This Row],[Max Players]]))</f>
        <v>10.606601717798211</v>
      </c>
    </row>
    <row r="58" spans="1:9" x14ac:dyDescent="0.3">
      <c r="A58" t="s">
        <v>151</v>
      </c>
      <c r="B58">
        <v>2016</v>
      </c>
      <c r="C58">
        <v>2</v>
      </c>
      <c r="D58">
        <v>8</v>
      </c>
      <c r="E58">
        <v>60</v>
      </c>
      <c r="F58">
        <v>7.57</v>
      </c>
      <c r="G58">
        <v>2.15</v>
      </c>
      <c r="H58" t="s">
        <v>92</v>
      </c>
      <c r="I58" s="4">
        <f>igre_si[[#This Row],[Play Time]]/(SQRT(igre_si[[#This Row],[Min Players]]*igre_si[[#This Row],[Max Players]]))</f>
        <v>15</v>
      </c>
    </row>
    <row r="59" spans="1:9" x14ac:dyDescent="0.3">
      <c r="A59" t="s">
        <v>197</v>
      </c>
      <c r="B59">
        <v>2000</v>
      </c>
      <c r="C59">
        <v>2</v>
      </c>
      <c r="D59">
        <v>5</v>
      </c>
      <c r="E59">
        <v>45</v>
      </c>
      <c r="F59">
        <v>7.42</v>
      </c>
      <c r="G59">
        <v>1.91</v>
      </c>
      <c r="H59" t="s">
        <v>39</v>
      </c>
      <c r="I59" s="4">
        <f>igre_si[[#This Row],[Play Time]]/(SQRT(igre_si[[#This Row],[Min Players]]*igre_si[[#This Row],[Max Players]]))</f>
        <v>14.230249470757705</v>
      </c>
    </row>
    <row r="60" spans="1:9" x14ac:dyDescent="0.3">
      <c r="A60" t="s">
        <v>306</v>
      </c>
      <c r="B60">
        <v>2003</v>
      </c>
      <c r="C60">
        <v>2</v>
      </c>
      <c r="D60">
        <v>2</v>
      </c>
      <c r="E60">
        <v>30</v>
      </c>
      <c r="F60">
        <v>7.1</v>
      </c>
      <c r="G60">
        <v>1.99</v>
      </c>
      <c r="H60" t="s">
        <v>39</v>
      </c>
      <c r="I60" s="4">
        <f>igre_si[[#This Row],[Play Time]]/(SQRT(igre_si[[#This Row],[Min Players]]*igre_si[[#This Row],[Max Players]]))</f>
        <v>15</v>
      </c>
    </row>
    <row r="61" spans="1:9" x14ac:dyDescent="0.3">
      <c r="A61" t="s">
        <v>447</v>
      </c>
      <c r="B61">
        <v>2009</v>
      </c>
      <c r="C61">
        <v>4</v>
      </c>
      <c r="D61">
        <v>30</v>
      </c>
      <c r="E61">
        <v>30</v>
      </c>
      <c r="F61">
        <v>5.91</v>
      </c>
      <c r="G61">
        <v>1.2</v>
      </c>
      <c r="H61" t="s">
        <v>92</v>
      </c>
      <c r="I61" s="4">
        <f>igre_si[[#This Row],[Play Time]]/(SQRT(igre_si[[#This Row],[Min Players]]*igre_si[[#This Row],[Max Players]]))</f>
        <v>2.7386127875258306</v>
      </c>
    </row>
    <row r="62" spans="1:9" x14ac:dyDescent="0.3">
      <c r="A62" t="s">
        <v>101</v>
      </c>
      <c r="B62">
        <v>2019</v>
      </c>
      <c r="C62">
        <v>1</v>
      </c>
      <c r="D62">
        <v>100</v>
      </c>
      <c r="E62">
        <v>45</v>
      </c>
      <c r="F62">
        <v>7.76</v>
      </c>
      <c r="G62">
        <v>1.91</v>
      </c>
      <c r="H62" t="s">
        <v>39</v>
      </c>
      <c r="I62" s="4">
        <f>igre_si[[#This Row],[Play Time]]/(SQRT(igre_si[[#This Row],[Min Players]]*igre_si[[#This Row],[Max Players]]))</f>
        <v>4.5</v>
      </c>
    </row>
    <row r="63" spans="1:9" x14ac:dyDescent="0.3">
      <c r="A63" t="s">
        <v>397</v>
      </c>
      <c r="B63">
        <v>2009</v>
      </c>
      <c r="C63">
        <v>1</v>
      </c>
      <c r="D63">
        <v>6</v>
      </c>
      <c r="E63">
        <v>60</v>
      </c>
      <c r="F63">
        <v>6.65</v>
      </c>
      <c r="G63">
        <v>1.66</v>
      </c>
      <c r="H63" t="s">
        <v>39</v>
      </c>
      <c r="I63" s="4">
        <f>igre_si[[#This Row],[Play Time]]/(SQRT(igre_si[[#This Row],[Min Players]]*igre_si[[#This Row],[Max Players]]))</f>
        <v>24.494897427831784</v>
      </c>
    </row>
    <row r="64" spans="1:9" x14ac:dyDescent="0.3">
      <c r="A64" t="s">
        <v>154</v>
      </c>
      <c r="B64">
        <v>2014</v>
      </c>
      <c r="C64">
        <v>1</v>
      </c>
      <c r="D64">
        <v>4</v>
      </c>
      <c r="E64">
        <v>90</v>
      </c>
      <c r="F64">
        <v>7.56</v>
      </c>
      <c r="G64">
        <v>2.66</v>
      </c>
      <c r="H64" t="s">
        <v>9</v>
      </c>
      <c r="I64" s="4">
        <f>igre_si[[#This Row],[Play Time]]/(SQRT(igre_si[[#This Row],[Min Players]]*igre_si[[#This Row],[Max Players]]))</f>
        <v>45</v>
      </c>
    </row>
    <row r="65" spans="1:9" x14ac:dyDescent="0.3">
      <c r="A65" t="s">
        <v>289</v>
      </c>
      <c r="B65">
        <v>1995</v>
      </c>
      <c r="C65">
        <v>3</v>
      </c>
      <c r="D65">
        <v>4</v>
      </c>
      <c r="E65">
        <v>120</v>
      </c>
      <c r="F65">
        <v>7.15</v>
      </c>
      <c r="G65">
        <v>2.3199999999999998</v>
      </c>
      <c r="H65" t="s">
        <v>39</v>
      </c>
      <c r="I65" s="4">
        <f>igre_si[[#This Row],[Play Time]]/(SQRT(igre_si[[#This Row],[Min Players]]*igre_si[[#This Row],[Max Players]]))</f>
        <v>34.641016151377549</v>
      </c>
    </row>
    <row r="66" spans="1:9" x14ac:dyDescent="0.3">
      <c r="A66" t="s">
        <v>387</v>
      </c>
      <c r="B66">
        <v>1996</v>
      </c>
      <c r="C66">
        <v>2</v>
      </c>
      <c r="D66">
        <v>2</v>
      </c>
      <c r="E66">
        <v>120</v>
      </c>
      <c r="F66">
        <v>6.72</v>
      </c>
      <c r="G66">
        <v>2.4500000000000002</v>
      </c>
      <c r="H66" t="s">
        <v>9</v>
      </c>
      <c r="I66" s="4">
        <f>igre_si[[#This Row],[Play Time]]/(SQRT(igre_si[[#This Row],[Min Players]]*igre_si[[#This Row],[Max Players]]))</f>
        <v>60</v>
      </c>
    </row>
    <row r="67" spans="1:9" x14ac:dyDescent="0.3">
      <c r="A67" t="s">
        <v>452</v>
      </c>
      <c r="B67">
        <v>2007</v>
      </c>
      <c r="C67">
        <v>1</v>
      </c>
      <c r="D67">
        <v>4</v>
      </c>
      <c r="E67">
        <v>15</v>
      </c>
      <c r="F67">
        <v>5.7</v>
      </c>
      <c r="G67">
        <v>1.23</v>
      </c>
      <c r="H67" t="s">
        <v>39</v>
      </c>
      <c r="I67" s="4">
        <f>igre_si[[#This Row],[Play Time]]/(SQRT(igre_si[[#This Row],[Min Players]]*igre_si[[#This Row],[Max Players]]))</f>
        <v>7.5</v>
      </c>
    </row>
    <row r="68" spans="1:9" x14ac:dyDescent="0.3">
      <c r="A68" t="s">
        <v>277</v>
      </c>
      <c r="B68">
        <v>2017</v>
      </c>
      <c r="C68">
        <v>1</v>
      </c>
      <c r="D68">
        <v>2</v>
      </c>
      <c r="E68">
        <v>40</v>
      </c>
      <c r="F68">
        <v>7.19</v>
      </c>
      <c r="G68">
        <v>2.58</v>
      </c>
      <c r="H68" t="s">
        <v>9</v>
      </c>
      <c r="I68" s="4">
        <f>igre_si[[#This Row],[Play Time]]/(SQRT(igre_si[[#This Row],[Min Players]]*igre_si[[#This Row],[Max Players]]))</f>
        <v>28.284271247461898</v>
      </c>
    </row>
    <row r="69" spans="1:9" x14ac:dyDescent="0.3">
      <c r="A69" t="s">
        <v>53</v>
      </c>
      <c r="B69">
        <v>2013</v>
      </c>
      <c r="C69">
        <v>1</v>
      </c>
      <c r="D69">
        <v>7</v>
      </c>
      <c r="E69">
        <v>210</v>
      </c>
      <c r="F69">
        <v>8.02</v>
      </c>
      <c r="G69">
        <v>3.79</v>
      </c>
      <c r="H69" t="s">
        <v>9</v>
      </c>
      <c r="I69" s="4">
        <f>igre_si[[#This Row],[Play Time]]/(SQRT(igre_si[[#This Row],[Min Players]]*igre_si[[#This Row],[Max Players]]))</f>
        <v>79.372539331937716</v>
      </c>
    </row>
    <row r="70" spans="1:9" x14ac:dyDescent="0.3">
      <c r="A70" t="s">
        <v>99</v>
      </c>
      <c r="B70">
        <v>2005</v>
      </c>
      <c r="C70">
        <v>2</v>
      </c>
      <c r="D70">
        <v>5</v>
      </c>
      <c r="E70">
        <v>150</v>
      </c>
      <c r="F70">
        <v>7.77</v>
      </c>
      <c r="G70">
        <v>3.8</v>
      </c>
      <c r="H70" t="s">
        <v>9</v>
      </c>
      <c r="I70" s="4">
        <f>igre_si[[#This Row],[Play Time]]/(SQRT(igre_si[[#This Row],[Min Players]]*igre_si[[#This Row],[Max Players]]))</f>
        <v>47.434164902525687</v>
      </c>
    </row>
    <row r="71" spans="1:9" x14ac:dyDescent="0.3">
      <c r="A71" t="s">
        <v>347</v>
      </c>
      <c r="B71">
        <v>2015</v>
      </c>
      <c r="C71">
        <v>2</v>
      </c>
      <c r="D71">
        <v>6</v>
      </c>
      <c r="E71">
        <v>30</v>
      </c>
      <c r="F71">
        <v>6.98</v>
      </c>
      <c r="G71">
        <v>1.33</v>
      </c>
      <c r="H71" t="s">
        <v>39</v>
      </c>
      <c r="I71" s="4">
        <f>igre_si[[#This Row],[Play Time]]/(SQRT(igre_si[[#This Row],[Min Players]]*igre_si[[#This Row],[Max Players]]))</f>
        <v>8.6602540378443873</v>
      </c>
    </row>
    <row r="72" spans="1:9" x14ac:dyDescent="0.3">
      <c r="A72" t="s">
        <v>266</v>
      </c>
      <c r="B72">
        <v>2018</v>
      </c>
      <c r="C72">
        <v>2</v>
      </c>
      <c r="D72">
        <v>4</v>
      </c>
      <c r="E72">
        <v>45</v>
      </c>
      <c r="F72">
        <v>7.22</v>
      </c>
      <c r="G72">
        <v>2.09</v>
      </c>
      <c r="H72" t="s">
        <v>39</v>
      </c>
      <c r="I72" s="4">
        <f>igre_si[[#This Row],[Play Time]]/(SQRT(igre_si[[#This Row],[Min Players]]*igre_si[[#This Row],[Max Players]]))</f>
        <v>15.909902576697318</v>
      </c>
    </row>
    <row r="73" spans="1:9" x14ac:dyDescent="0.3">
      <c r="A73" t="s">
        <v>111</v>
      </c>
      <c r="B73">
        <v>2017</v>
      </c>
      <c r="C73">
        <v>2</v>
      </c>
      <c r="D73">
        <v>5</v>
      </c>
      <c r="E73">
        <v>45</v>
      </c>
      <c r="F73">
        <v>7.71</v>
      </c>
      <c r="G73">
        <v>1.65</v>
      </c>
      <c r="H73" t="s">
        <v>39</v>
      </c>
      <c r="I73" s="4">
        <f>igre_si[[#This Row],[Play Time]]/(SQRT(igre_si[[#This Row],[Min Players]]*igre_si[[#This Row],[Max Players]]))</f>
        <v>14.230249470757705</v>
      </c>
    </row>
    <row r="74" spans="1:9" x14ac:dyDescent="0.3">
      <c r="A74" t="s">
        <v>216</v>
      </c>
      <c r="B74">
        <v>2017</v>
      </c>
      <c r="C74">
        <v>2</v>
      </c>
      <c r="D74">
        <v>5</v>
      </c>
      <c r="E74">
        <v>45</v>
      </c>
      <c r="F74">
        <v>7.37</v>
      </c>
      <c r="G74">
        <v>1.77</v>
      </c>
      <c r="H74" t="s">
        <v>39</v>
      </c>
      <c r="I74" s="4">
        <f>igre_si[[#This Row],[Play Time]]/(SQRT(igre_si[[#This Row],[Min Players]]*igre_si[[#This Row],[Max Players]]))</f>
        <v>14.230249470757705</v>
      </c>
    </row>
    <row r="75" spans="1:9" x14ac:dyDescent="0.3">
      <c r="A75" t="s">
        <v>96</v>
      </c>
      <c r="B75">
        <v>2015</v>
      </c>
      <c r="C75">
        <v>2</v>
      </c>
      <c r="D75">
        <v>4</v>
      </c>
      <c r="E75">
        <v>90</v>
      </c>
      <c r="F75">
        <v>7.77</v>
      </c>
      <c r="G75">
        <v>2.59</v>
      </c>
      <c r="H75" t="s">
        <v>9</v>
      </c>
      <c r="I75" s="4">
        <f>igre_si[[#This Row],[Play Time]]/(SQRT(igre_si[[#This Row],[Min Players]]*igre_si[[#This Row],[Max Players]]))</f>
        <v>31.819805153394636</v>
      </c>
    </row>
    <row r="76" spans="1:9" x14ac:dyDescent="0.3">
      <c r="A76" t="s">
        <v>119</v>
      </c>
      <c r="B76">
        <v>2009</v>
      </c>
      <c r="C76">
        <v>3</v>
      </c>
      <c r="D76">
        <v>4</v>
      </c>
      <c r="E76">
        <v>120</v>
      </c>
      <c r="F76">
        <v>7.68</v>
      </c>
      <c r="G76">
        <v>3.19</v>
      </c>
      <c r="H76" t="s">
        <v>9</v>
      </c>
      <c r="I76" s="4">
        <f>igre_si[[#This Row],[Play Time]]/(SQRT(igre_si[[#This Row],[Min Players]]*igre_si[[#This Row],[Max Players]]))</f>
        <v>34.641016151377549</v>
      </c>
    </row>
    <row r="77" spans="1:9" x14ac:dyDescent="0.3">
      <c r="A77" t="s">
        <v>215</v>
      </c>
      <c r="B77">
        <v>2017</v>
      </c>
      <c r="C77">
        <v>1</v>
      </c>
      <c r="D77">
        <v>6</v>
      </c>
      <c r="E77">
        <v>75</v>
      </c>
      <c r="F77">
        <v>7.38</v>
      </c>
      <c r="G77">
        <v>2.82</v>
      </c>
      <c r="H77" t="s">
        <v>9</v>
      </c>
      <c r="I77" s="4">
        <f>igre_si[[#This Row],[Play Time]]/(SQRT(igre_si[[#This Row],[Min Players]]*igre_si[[#This Row],[Max Players]]))</f>
        <v>30.618621784789728</v>
      </c>
    </row>
    <row r="78" spans="1:9" x14ac:dyDescent="0.3">
      <c r="A78" t="s">
        <v>300</v>
      </c>
      <c r="B78">
        <v>1475</v>
      </c>
      <c r="C78">
        <v>2</v>
      </c>
      <c r="D78">
        <v>2</v>
      </c>
      <c r="E78">
        <v>60</v>
      </c>
      <c r="F78">
        <v>7.13</v>
      </c>
      <c r="G78">
        <v>3.7</v>
      </c>
      <c r="H78" t="s">
        <v>81</v>
      </c>
      <c r="I78" s="4">
        <f>igre_si[[#This Row],[Play Time]]/(SQRT(igre_si[[#This Row],[Min Players]]*igre_si[[#This Row],[Max Players]]))</f>
        <v>30</v>
      </c>
    </row>
    <row r="79" spans="1:9" x14ac:dyDescent="0.3">
      <c r="A79" t="s">
        <v>228</v>
      </c>
      <c r="B79">
        <v>1999</v>
      </c>
      <c r="C79">
        <v>3</v>
      </c>
      <c r="D79">
        <v>5</v>
      </c>
      <c r="E79">
        <v>60</v>
      </c>
      <c r="F79">
        <v>7.33</v>
      </c>
      <c r="G79">
        <v>2.2799999999999998</v>
      </c>
      <c r="H79" t="s">
        <v>9</v>
      </c>
      <c r="I79" s="4">
        <f>igre_si[[#This Row],[Play Time]]/(SQRT(igre_si[[#This Row],[Min Players]]*igre_si[[#This Row],[Max Players]]))</f>
        <v>15.491933384829666</v>
      </c>
    </row>
    <row r="80" spans="1:9" x14ac:dyDescent="0.3">
      <c r="A80" t="s">
        <v>86</v>
      </c>
      <c r="B80">
        <v>2018</v>
      </c>
      <c r="C80">
        <v>1</v>
      </c>
      <c r="D80">
        <v>4</v>
      </c>
      <c r="E80">
        <v>90</v>
      </c>
      <c r="F80">
        <v>7.8</v>
      </c>
      <c r="G80">
        <v>2.11</v>
      </c>
      <c r="H80" t="s">
        <v>12</v>
      </c>
      <c r="I80" s="4">
        <f>igre_si[[#This Row],[Play Time]]/(SQRT(igre_si[[#This Row],[Min Players]]*igre_si[[#This Row],[Max Players]]))</f>
        <v>45</v>
      </c>
    </row>
    <row r="81" spans="1:9" x14ac:dyDescent="0.3">
      <c r="A81" t="s">
        <v>235</v>
      </c>
      <c r="B81">
        <v>2016</v>
      </c>
      <c r="C81">
        <v>2</v>
      </c>
      <c r="D81">
        <v>8</v>
      </c>
      <c r="E81">
        <v>60</v>
      </c>
      <c r="F81">
        <v>7.31</v>
      </c>
      <c r="G81">
        <v>2</v>
      </c>
      <c r="H81" t="s">
        <v>39</v>
      </c>
      <c r="I81" s="4">
        <f>igre_si[[#This Row],[Play Time]]/(SQRT(igre_si[[#This Row],[Min Players]]*igre_si[[#This Row],[Max Players]]))</f>
        <v>15</v>
      </c>
    </row>
    <row r="82" spans="1:9" x14ac:dyDescent="0.3">
      <c r="A82" t="s">
        <v>235</v>
      </c>
      <c r="B82">
        <v>2000</v>
      </c>
      <c r="C82">
        <v>2</v>
      </c>
      <c r="D82">
        <v>8</v>
      </c>
      <c r="E82">
        <v>60</v>
      </c>
      <c r="F82">
        <v>7.08</v>
      </c>
      <c r="G82">
        <v>2.0499999999999998</v>
      </c>
      <c r="H82" t="s">
        <v>39</v>
      </c>
      <c r="I82" s="4">
        <f>igre_si[[#This Row],[Play Time]]/(SQRT(igre_si[[#This Row],[Min Players]]*igre_si[[#This Row],[Max Players]]))</f>
        <v>15</v>
      </c>
    </row>
    <row r="83" spans="1:9" x14ac:dyDescent="0.3">
      <c r="A83" t="s">
        <v>175</v>
      </c>
      <c r="B83">
        <v>1980</v>
      </c>
      <c r="C83">
        <v>2</v>
      </c>
      <c r="D83">
        <v>7</v>
      </c>
      <c r="E83">
        <v>360</v>
      </c>
      <c r="F83">
        <v>7.5</v>
      </c>
      <c r="G83">
        <v>3.66</v>
      </c>
      <c r="H83" t="s">
        <v>9</v>
      </c>
      <c r="I83" s="4">
        <f>igre_si[[#This Row],[Play Time]]/(SQRT(igre_si[[#This Row],[Min Players]]*igre_si[[#This Row],[Max Players]]))</f>
        <v>96.214047088472782</v>
      </c>
    </row>
    <row r="84" spans="1:9" x14ac:dyDescent="0.3">
      <c r="A84" t="s">
        <v>55</v>
      </c>
      <c r="B84">
        <v>2017</v>
      </c>
      <c r="C84">
        <v>1</v>
      </c>
      <c r="D84">
        <v>4</v>
      </c>
      <c r="E84">
        <v>120</v>
      </c>
      <c r="F84">
        <v>8.01</v>
      </c>
      <c r="G84">
        <v>3.46</v>
      </c>
      <c r="H84" t="s">
        <v>9</v>
      </c>
      <c r="I84" s="4">
        <f>igre_si[[#This Row],[Play Time]]/(SQRT(igre_si[[#This Row],[Min Players]]*igre_si[[#This Row],[Max Players]]))</f>
        <v>60</v>
      </c>
    </row>
    <row r="85" spans="1:9" x14ac:dyDescent="0.3">
      <c r="A85" t="s">
        <v>456</v>
      </c>
      <c r="B85">
        <v>1949</v>
      </c>
      <c r="C85">
        <v>2</v>
      </c>
      <c r="D85">
        <v>6</v>
      </c>
      <c r="E85">
        <v>45</v>
      </c>
      <c r="F85">
        <v>5.67</v>
      </c>
      <c r="G85">
        <v>1.66</v>
      </c>
      <c r="H85" t="s">
        <v>39</v>
      </c>
      <c r="I85" s="4">
        <f>igre_si[[#This Row],[Play Time]]/(SQRT(igre_si[[#This Row],[Min Players]]*igre_si[[#This Row],[Max Players]]))</f>
        <v>12.99038105676658</v>
      </c>
    </row>
    <row r="86" spans="1:9" x14ac:dyDescent="0.3">
      <c r="A86" t="s">
        <v>389</v>
      </c>
      <c r="B86">
        <v>2004</v>
      </c>
      <c r="C86">
        <v>2</v>
      </c>
      <c r="D86">
        <v>6</v>
      </c>
      <c r="E86">
        <v>20</v>
      </c>
      <c r="F86">
        <v>6.71</v>
      </c>
      <c r="G86">
        <v>1.1200000000000001</v>
      </c>
      <c r="H86" t="s">
        <v>92</v>
      </c>
      <c r="I86" s="4">
        <f>igre_si[[#This Row],[Play Time]]/(SQRT(igre_si[[#This Row],[Min Players]]*igre_si[[#This Row],[Max Players]]))</f>
        <v>5.7735026918962582</v>
      </c>
    </row>
    <row r="87" spans="1:9" x14ac:dyDescent="0.3">
      <c r="A87" t="s">
        <v>135</v>
      </c>
      <c r="B87">
        <v>2015</v>
      </c>
      <c r="C87">
        <v>2</v>
      </c>
      <c r="D87">
        <v>8</v>
      </c>
      <c r="E87">
        <v>15</v>
      </c>
      <c r="F87">
        <v>7.62</v>
      </c>
      <c r="G87">
        <v>1.29</v>
      </c>
      <c r="H87" t="s">
        <v>92</v>
      </c>
      <c r="I87" s="4">
        <f>igre_si[[#This Row],[Play Time]]/(SQRT(igre_si[[#This Row],[Min Players]]*igre_si[[#This Row],[Max Players]]))</f>
        <v>3.75</v>
      </c>
    </row>
    <row r="88" spans="1:9" x14ac:dyDescent="0.3">
      <c r="A88" t="s">
        <v>149</v>
      </c>
      <c r="B88">
        <v>2017</v>
      </c>
      <c r="C88">
        <v>2</v>
      </c>
      <c r="D88">
        <v>99</v>
      </c>
      <c r="E88">
        <v>30</v>
      </c>
      <c r="F88">
        <v>7.57</v>
      </c>
      <c r="G88">
        <v>1.34</v>
      </c>
      <c r="H88" t="s">
        <v>39</v>
      </c>
      <c r="I88" s="4">
        <f>igre_si[[#This Row],[Play Time]]/(SQRT(igre_si[[#This Row],[Min Players]]*igre_si[[#This Row],[Max Players]]))</f>
        <v>2.1320071635561044</v>
      </c>
    </row>
    <row r="89" spans="1:9" x14ac:dyDescent="0.3">
      <c r="A89" t="s">
        <v>252</v>
      </c>
      <c r="B89">
        <v>2016</v>
      </c>
      <c r="C89">
        <v>2</v>
      </c>
      <c r="D89">
        <v>8</v>
      </c>
      <c r="E89">
        <v>15</v>
      </c>
      <c r="F89">
        <v>7.26</v>
      </c>
      <c r="G89">
        <v>1.27</v>
      </c>
      <c r="H89" t="s">
        <v>92</v>
      </c>
      <c r="I89" s="4">
        <f>igre_si[[#This Row],[Play Time]]/(SQRT(igre_si[[#This Row],[Min Players]]*igre_si[[#This Row],[Max Players]]))</f>
        <v>3.75</v>
      </c>
    </row>
    <row r="90" spans="1:9" x14ac:dyDescent="0.3">
      <c r="A90" t="s">
        <v>117</v>
      </c>
      <c r="B90">
        <v>2018</v>
      </c>
      <c r="C90">
        <v>2</v>
      </c>
      <c r="D90">
        <v>4</v>
      </c>
      <c r="E90">
        <v>90</v>
      </c>
      <c r="F90">
        <v>7.69</v>
      </c>
      <c r="G90">
        <v>3.28</v>
      </c>
      <c r="H90" t="s">
        <v>9</v>
      </c>
      <c r="I90" s="4">
        <f>igre_si[[#This Row],[Play Time]]/(SQRT(igre_si[[#This Row],[Min Players]]*igre_si[[#This Row],[Max Players]]))</f>
        <v>31.819805153394636</v>
      </c>
    </row>
    <row r="91" spans="1:9" x14ac:dyDescent="0.3">
      <c r="A91" t="s">
        <v>348</v>
      </c>
      <c r="B91">
        <v>2003</v>
      </c>
      <c r="C91">
        <v>2</v>
      </c>
      <c r="D91">
        <v>5</v>
      </c>
      <c r="E91">
        <v>30</v>
      </c>
      <c r="F91">
        <v>6.97</v>
      </c>
      <c r="G91">
        <v>1.28</v>
      </c>
      <c r="H91" t="s">
        <v>39</v>
      </c>
      <c r="I91" s="4">
        <f>igre_si[[#This Row],[Play Time]]/(SQRT(igre_si[[#This Row],[Min Players]]*igre_si[[#This Row],[Max Players]]))</f>
        <v>9.4868329805051381</v>
      </c>
    </row>
    <row r="92" spans="1:9" x14ac:dyDescent="0.3">
      <c r="A92" t="s">
        <v>302</v>
      </c>
      <c r="B92">
        <v>2014</v>
      </c>
      <c r="C92">
        <v>2</v>
      </c>
      <c r="D92">
        <v>6</v>
      </c>
      <c r="E92">
        <v>40</v>
      </c>
      <c r="F92">
        <v>7.12</v>
      </c>
      <c r="G92">
        <v>1.82</v>
      </c>
      <c r="H92" t="s">
        <v>39</v>
      </c>
      <c r="I92" s="4">
        <f>igre_si[[#This Row],[Play Time]]/(SQRT(igre_si[[#This Row],[Min Players]]*igre_si[[#This Row],[Max Players]]))</f>
        <v>11.547005383792516</v>
      </c>
    </row>
    <row r="93" spans="1:9" x14ac:dyDescent="0.3">
      <c r="A93" t="s">
        <v>93</v>
      </c>
      <c r="B93">
        <v>2006</v>
      </c>
      <c r="C93">
        <v>2</v>
      </c>
      <c r="D93">
        <v>2</v>
      </c>
      <c r="E93">
        <v>60</v>
      </c>
      <c r="F93">
        <v>7.78</v>
      </c>
      <c r="G93">
        <v>2.69</v>
      </c>
      <c r="H93" t="s">
        <v>94</v>
      </c>
      <c r="I93" s="4">
        <f>igre_si[[#This Row],[Play Time]]/(SQRT(igre_si[[#This Row],[Min Players]]*igre_si[[#This Row],[Max Players]]))</f>
        <v>30</v>
      </c>
    </row>
    <row r="94" spans="1:9" x14ac:dyDescent="0.3">
      <c r="A94" t="s">
        <v>378</v>
      </c>
      <c r="B94">
        <v>2013</v>
      </c>
      <c r="C94">
        <v>4</v>
      </c>
      <c r="D94">
        <v>12</v>
      </c>
      <c r="E94">
        <v>40</v>
      </c>
      <c r="F94">
        <v>6.82</v>
      </c>
      <c r="G94">
        <v>1.4</v>
      </c>
      <c r="H94" t="s">
        <v>92</v>
      </c>
      <c r="I94" s="4">
        <f>igre_si[[#This Row],[Play Time]]/(SQRT(igre_si[[#This Row],[Min Players]]*igre_si[[#This Row],[Max Players]]))</f>
        <v>5.7735026918962582</v>
      </c>
    </row>
    <row r="95" spans="1:9" x14ac:dyDescent="0.3">
      <c r="A95" t="s">
        <v>36</v>
      </c>
      <c r="B95">
        <v>2013</v>
      </c>
      <c r="C95">
        <v>2</v>
      </c>
      <c r="D95">
        <v>5</v>
      </c>
      <c r="E95">
        <v>100</v>
      </c>
      <c r="F95">
        <v>8.1199999999999992</v>
      </c>
      <c r="G95">
        <v>3.03</v>
      </c>
      <c r="H95" t="s">
        <v>9</v>
      </c>
      <c r="I95" s="4">
        <f>igre_si[[#This Row],[Play Time]]/(SQRT(igre_si[[#This Row],[Min Players]]*igre_si[[#This Row],[Max Players]]))</f>
        <v>31.622776601683793</v>
      </c>
    </row>
    <row r="96" spans="1:9" x14ac:dyDescent="0.3">
      <c r="A96" t="s">
        <v>374</v>
      </c>
      <c r="B96">
        <v>1995</v>
      </c>
      <c r="C96">
        <v>2</v>
      </c>
      <c r="D96">
        <v>6</v>
      </c>
      <c r="E96">
        <v>45</v>
      </c>
      <c r="F96">
        <v>6.83</v>
      </c>
      <c r="G96">
        <v>1.96</v>
      </c>
      <c r="H96" t="s">
        <v>9</v>
      </c>
      <c r="I96" s="4">
        <f>igre_si[[#This Row],[Play Time]]/(SQRT(igre_si[[#This Row],[Min Players]]*igre_si[[#This Row],[Max Players]]))</f>
        <v>12.99038105676658</v>
      </c>
    </row>
    <row r="97" spans="1:9" x14ac:dyDescent="0.3">
      <c r="A97" t="s">
        <v>160</v>
      </c>
      <c r="B97">
        <v>2008</v>
      </c>
      <c r="C97">
        <v>3</v>
      </c>
      <c r="D97">
        <v>5</v>
      </c>
      <c r="E97">
        <v>120</v>
      </c>
      <c r="F97">
        <v>7.54</v>
      </c>
      <c r="G97">
        <v>2.57</v>
      </c>
      <c r="H97" t="s">
        <v>9</v>
      </c>
      <c r="I97" s="4">
        <f>igre_si[[#This Row],[Play Time]]/(SQRT(igre_si[[#This Row],[Min Players]]*igre_si[[#This Row],[Max Players]]))</f>
        <v>30.983866769659333</v>
      </c>
    </row>
    <row r="98" spans="1:9" x14ac:dyDescent="0.3">
      <c r="A98" t="s">
        <v>363</v>
      </c>
      <c r="B98">
        <v>2016</v>
      </c>
      <c r="C98">
        <v>1</v>
      </c>
      <c r="D98">
        <v>4</v>
      </c>
      <c r="E98">
        <v>60</v>
      </c>
      <c r="F98">
        <v>6.91</v>
      </c>
      <c r="G98">
        <v>1.9</v>
      </c>
      <c r="H98" t="s">
        <v>39</v>
      </c>
      <c r="I98" s="4">
        <f>igre_si[[#This Row],[Play Time]]/(SQRT(igre_si[[#This Row],[Min Players]]*igre_si[[#This Row],[Max Players]]))</f>
        <v>30</v>
      </c>
    </row>
    <row r="99" spans="1:9" x14ac:dyDescent="0.3">
      <c r="A99" t="s">
        <v>341</v>
      </c>
      <c r="B99">
        <v>2012</v>
      </c>
      <c r="C99">
        <v>2</v>
      </c>
      <c r="D99">
        <v>6</v>
      </c>
      <c r="E99">
        <v>15</v>
      </c>
      <c r="F99">
        <v>7.01</v>
      </c>
      <c r="G99">
        <v>1.41</v>
      </c>
      <c r="H99" t="s">
        <v>92</v>
      </c>
      <c r="I99" s="4">
        <f>igre_si[[#This Row],[Play Time]]/(SQRT(igre_si[[#This Row],[Min Players]]*igre_si[[#This Row],[Max Players]]))</f>
        <v>4.3301270189221936</v>
      </c>
    </row>
    <row r="100" spans="1:9" x14ac:dyDescent="0.3">
      <c r="A100" t="s">
        <v>454</v>
      </c>
      <c r="B100">
        <v>1998</v>
      </c>
      <c r="C100">
        <v>4</v>
      </c>
      <c r="D100">
        <v>16</v>
      </c>
      <c r="E100">
        <v>60</v>
      </c>
      <c r="F100">
        <v>5.68</v>
      </c>
      <c r="G100">
        <v>1.43</v>
      </c>
      <c r="H100" t="s">
        <v>92</v>
      </c>
      <c r="I100" s="4">
        <f>igre_si[[#This Row],[Play Time]]/(SQRT(igre_si[[#This Row],[Min Players]]*igre_si[[#This Row],[Max Players]]))</f>
        <v>7.5</v>
      </c>
    </row>
    <row r="101" spans="1:9" x14ac:dyDescent="0.3">
      <c r="A101" t="s">
        <v>329</v>
      </c>
      <c r="B101">
        <v>1630</v>
      </c>
      <c r="C101">
        <v>2</v>
      </c>
      <c r="D101">
        <v>4</v>
      </c>
      <c r="E101">
        <v>30</v>
      </c>
      <c r="F101">
        <v>7.05</v>
      </c>
      <c r="G101">
        <v>1.9</v>
      </c>
      <c r="H101" t="s">
        <v>81</v>
      </c>
      <c r="I101" s="4">
        <f>igre_si[[#This Row],[Play Time]]/(SQRT(igre_si[[#This Row],[Min Players]]*igre_si[[#This Row],[Max Players]]))</f>
        <v>10.606601717798211</v>
      </c>
    </row>
    <row r="102" spans="1:9" x14ac:dyDescent="0.3">
      <c r="A102" t="s">
        <v>62</v>
      </c>
      <c r="B102">
        <v>1876</v>
      </c>
      <c r="C102">
        <v>2</v>
      </c>
      <c r="D102">
        <v>4</v>
      </c>
      <c r="E102">
        <v>30</v>
      </c>
      <c r="F102">
        <v>7.91</v>
      </c>
      <c r="G102">
        <v>1.25</v>
      </c>
      <c r="H102" t="s">
        <v>39</v>
      </c>
      <c r="I102" s="4">
        <f>igre_si[[#This Row],[Play Time]]/(SQRT(igre_si[[#This Row],[Min Players]]*igre_si[[#This Row],[Max Players]]))</f>
        <v>10.606601717798211</v>
      </c>
    </row>
    <row r="103" spans="1:9" x14ac:dyDescent="0.3">
      <c r="A103" t="s">
        <v>172</v>
      </c>
      <c r="B103">
        <v>2018</v>
      </c>
      <c r="C103">
        <v>3</v>
      </c>
      <c r="D103">
        <v>5</v>
      </c>
      <c r="E103">
        <v>50</v>
      </c>
      <c r="F103">
        <v>7.52</v>
      </c>
      <c r="G103">
        <v>2.21</v>
      </c>
      <c r="H103" t="s">
        <v>39</v>
      </c>
      <c r="I103" s="4">
        <f>igre_si[[#This Row],[Play Time]]/(SQRT(igre_si[[#This Row],[Min Players]]*igre_si[[#This Row],[Max Players]]))</f>
        <v>12.909944487358056</v>
      </c>
    </row>
    <row r="104" spans="1:9" x14ac:dyDescent="0.3">
      <c r="A104" t="s">
        <v>170</v>
      </c>
      <c r="B104">
        <v>2009</v>
      </c>
      <c r="C104">
        <v>2</v>
      </c>
      <c r="D104">
        <v>5</v>
      </c>
      <c r="E104">
        <v>90</v>
      </c>
      <c r="F104">
        <v>7.52</v>
      </c>
      <c r="G104">
        <v>2.83</v>
      </c>
      <c r="H104" t="s">
        <v>9</v>
      </c>
      <c r="I104" s="4">
        <f>igre_si[[#This Row],[Play Time]]/(SQRT(igre_si[[#This Row],[Min Players]]*igre_si[[#This Row],[Max Players]]))</f>
        <v>28.460498941515411</v>
      </c>
    </row>
    <row r="105" spans="1:9" x14ac:dyDescent="0.3">
      <c r="A105" t="s">
        <v>321</v>
      </c>
      <c r="B105">
        <v>2012</v>
      </c>
      <c r="C105">
        <v>2</v>
      </c>
      <c r="D105">
        <v>5</v>
      </c>
      <c r="E105">
        <v>45</v>
      </c>
      <c r="F105">
        <v>7.05</v>
      </c>
      <c r="G105">
        <v>2</v>
      </c>
      <c r="H105" t="s">
        <v>12</v>
      </c>
      <c r="I105" s="4">
        <f>igre_si[[#This Row],[Play Time]]/(SQRT(igre_si[[#This Row],[Min Players]]*igre_si[[#This Row],[Max Players]]))</f>
        <v>14.230249470757705</v>
      </c>
    </row>
    <row r="106" spans="1:9" x14ac:dyDescent="0.3">
      <c r="A106" t="s">
        <v>125</v>
      </c>
      <c r="B106">
        <v>2016</v>
      </c>
      <c r="C106">
        <v>2</v>
      </c>
      <c r="D106">
        <v>5</v>
      </c>
      <c r="E106">
        <v>120</v>
      </c>
      <c r="F106">
        <v>7.65</v>
      </c>
      <c r="G106">
        <v>3.42</v>
      </c>
      <c r="H106" t="s">
        <v>12</v>
      </c>
      <c r="I106" s="4">
        <f>igre_si[[#This Row],[Play Time]]/(SQRT(igre_si[[#This Row],[Min Players]]*igre_si[[#This Row],[Max Players]]))</f>
        <v>37.947331922020552</v>
      </c>
    </row>
    <row r="107" spans="1:9" x14ac:dyDescent="0.3">
      <c r="A107" t="s">
        <v>174</v>
      </c>
      <c r="B107">
        <v>2014</v>
      </c>
      <c r="C107">
        <v>4</v>
      </c>
      <c r="D107">
        <v>12</v>
      </c>
      <c r="E107">
        <v>20</v>
      </c>
      <c r="F107">
        <v>7.5</v>
      </c>
      <c r="G107">
        <v>1.6</v>
      </c>
      <c r="H107" t="s">
        <v>92</v>
      </c>
      <c r="I107" s="4">
        <f>igre_si[[#This Row],[Play Time]]/(SQRT(igre_si[[#This Row],[Min Players]]*igre_si[[#This Row],[Max Players]]))</f>
        <v>2.8867513459481291</v>
      </c>
    </row>
    <row r="108" spans="1:9" x14ac:dyDescent="0.3">
      <c r="A108" t="s">
        <v>91</v>
      </c>
      <c r="B108">
        <v>2018</v>
      </c>
      <c r="C108">
        <v>3</v>
      </c>
      <c r="D108">
        <v>8</v>
      </c>
      <c r="E108">
        <v>45</v>
      </c>
      <c r="F108">
        <v>7.79</v>
      </c>
      <c r="G108">
        <v>1.83</v>
      </c>
      <c r="H108" t="s">
        <v>92</v>
      </c>
      <c r="I108" s="4">
        <f>igre_si[[#This Row],[Play Time]]/(SQRT(igre_si[[#This Row],[Min Players]]*igre_si[[#This Row],[Max Players]]))</f>
        <v>9.1855865354369186</v>
      </c>
    </row>
    <row r="109" spans="1:9" x14ac:dyDescent="0.3">
      <c r="A109" t="s">
        <v>343</v>
      </c>
      <c r="B109">
        <v>2014</v>
      </c>
      <c r="C109">
        <v>2</v>
      </c>
      <c r="D109">
        <v>6</v>
      </c>
      <c r="E109">
        <v>30</v>
      </c>
      <c r="F109">
        <v>6.99</v>
      </c>
      <c r="G109">
        <v>1.18</v>
      </c>
      <c r="H109" t="s">
        <v>39</v>
      </c>
      <c r="I109" s="4">
        <f>igre_si[[#This Row],[Play Time]]/(SQRT(igre_si[[#This Row],[Min Players]]*igre_si[[#This Row],[Max Players]]))</f>
        <v>8.6602540378443873</v>
      </c>
    </row>
    <row r="110" spans="1:9" x14ac:dyDescent="0.3">
      <c r="A110" t="s">
        <v>236</v>
      </c>
      <c r="B110">
        <v>2005</v>
      </c>
      <c r="C110">
        <v>2</v>
      </c>
      <c r="D110">
        <v>5</v>
      </c>
      <c r="E110">
        <v>240</v>
      </c>
      <c r="F110">
        <v>7.3</v>
      </c>
      <c r="G110">
        <v>3.34</v>
      </c>
      <c r="H110" t="s">
        <v>12</v>
      </c>
      <c r="I110" s="4">
        <f>igre_si[[#This Row],[Play Time]]/(SQRT(igre_si[[#This Row],[Min Players]]*igre_si[[#This Row],[Max Players]]))</f>
        <v>75.894663844041105</v>
      </c>
    </row>
    <row r="111" spans="1:9" x14ac:dyDescent="0.3">
      <c r="A111" t="s">
        <v>379</v>
      </c>
      <c r="B111">
        <v>2005</v>
      </c>
      <c r="C111">
        <v>3</v>
      </c>
      <c r="D111">
        <v>8</v>
      </c>
      <c r="E111">
        <v>30</v>
      </c>
      <c r="F111">
        <v>6.82</v>
      </c>
      <c r="G111">
        <v>1.1100000000000001</v>
      </c>
      <c r="H111" t="s">
        <v>39</v>
      </c>
      <c r="I111" s="4">
        <f>igre_si[[#This Row],[Play Time]]/(SQRT(igre_si[[#This Row],[Min Players]]*igre_si[[#This Row],[Max Players]]))</f>
        <v>6.123724356957946</v>
      </c>
    </row>
    <row r="112" spans="1:9" x14ac:dyDescent="0.3">
      <c r="A112" t="s">
        <v>245</v>
      </c>
      <c r="B112">
        <v>2017</v>
      </c>
      <c r="C112">
        <v>2</v>
      </c>
      <c r="D112">
        <v>4</v>
      </c>
      <c r="E112">
        <v>45</v>
      </c>
      <c r="F112">
        <v>7.29</v>
      </c>
      <c r="G112">
        <v>1.97</v>
      </c>
      <c r="H112" t="s">
        <v>39</v>
      </c>
      <c r="I112" s="4">
        <f>igre_si[[#This Row],[Play Time]]/(SQRT(igre_si[[#This Row],[Min Players]]*igre_si[[#This Row],[Max Players]]))</f>
        <v>15.909902576697318</v>
      </c>
    </row>
    <row r="113" spans="1:9" x14ac:dyDescent="0.3">
      <c r="A113" t="s">
        <v>109</v>
      </c>
      <c r="B113">
        <v>2017</v>
      </c>
      <c r="C113">
        <v>1</v>
      </c>
      <c r="D113">
        <v>4</v>
      </c>
      <c r="E113">
        <v>120</v>
      </c>
      <c r="F113">
        <v>7.72</v>
      </c>
      <c r="G113">
        <v>3.04</v>
      </c>
      <c r="H113" t="s">
        <v>9</v>
      </c>
      <c r="I113" s="4">
        <f>igre_si[[#This Row],[Play Time]]/(SQRT(igre_si[[#This Row],[Min Players]]*igre_si[[#This Row],[Max Players]]))</f>
        <v>60</v>
      </c>
    </row>
    <row r="114" spans="1:9" x14ac:dyDescent="0.3">
      <c r="A114" t="s">
        <v>330</v>
      </c>
      <c r="B114">
        <v>1959</v>
      </c>
      <c r="C114">
        <v>2</v>
      </c>
      <c r="D114">
        <v>7</v>
      </c>
      <c r="E114">
        <v>360</v>
      </c>
      <c r="F114">
        <v>7.04</v>
      </c>
      <c r="G114">
        <v>3.36</v>
      </c>
      <c r="H114" t="s">
        <v>9</v>
      </c>
      <c r="I114" s="4">
        <f>igre_si[[#This Row],[Play Time]]/(SQRT(igre_si[[#This Row],[Min Players]]*igre_si[[#This Row],[Max Players]]))</f>
        <v>96.214047088472782</v>
      </c>
    </row>
    <row r="115" spans="1:9" x14ac:dyDescent="0.3">
      <c r="A115" t="s">
        <v>262</v>
      </c>
      <c r="B115">
        <v>2011</v>
      </c>
      <c r="C115">
        <v>2</v>
      </c>
      <c r="D115">
        <v>4</v>
      </c>
      <c r="E115">
        <v>60</v>
      </c>
      <c r="F115">
        <v>7.23</v>
      </c>
      <c r="G115">
        <v>2.21</v>
      </c>
      <c r="H115" t="s">
        <v>12</v>
      </c>
      <c r="I115" s="4">
        <f>igre_si[[#This Row],[Play Time]]/(SQRT(igre_si[[#This Row],[Min Players]]*igre_si[[#This Row],[Max Players]]))</f>
        <v>21.213203435596423</v>
      </c>
    </row>
    <row r="116" spans="1:9" x14ac:dyDescent="0.3">
      <c r="A116" t="s">
        <v>317</v>
      </c>
      <c r="B116">
        <v>2018</v>
      </c>
      <c r="C116">
        <v>2</v>
      </c>
      <c r="D116">
        <v>6</v>
      </c>
      <c r="E116">
        <v>50</v>
      </c>
      <c r="F116">
        <v>7.06</v>
      </c>
      <c r="G116">
        <v>2.41</v>
      </c>
      <c r="H116" t="s">
        <v>39</v>
      </c>
      <c r="I116" s="4">
        <f>igre_si[[#This Row],[Play Time]]/(SQRT(igre_si[[#This Row],[Min Players]]*igre_si[[#This Row],[Max Players]]))</f>
        <v>14.433756729740645</v>
      </c>
    </row>
    <row r="117" spans="1:9" x14ac:dyDescent="0.3">
      <c r="A117" t="s">
        <v>256</v>
      </c>
      <c r="B117">
        <v>2008</v>
      </c>
      <c r="C117">
        <v>3</v>
      </c>
      <c r="D117">
        <v>6</v>
      </c>
      <c r="E117">
        <v>30</v>
      </c>
      <c r="F117">
        <v>7.26</v>
      </c>
      <c r="G117">
        <v>1.22</v>
      </c>
      <c r="H117" t="s">
        <v>92</v>
      </c>
      <c r="I117" s="4">
        <f>igre_si[[#This Row],[Play Time]]/(SQRT(igre_si[[#This Row],[Min Players]]*igre_si[[#This Row],[Max Players]]))</f>
        <v>7.0710678118654755</v>
      </c>
    </row>
    <row r="118" spans="1:9" x14ac:dyDescent="0.3">
      <c r="A118" t="s">
        <v>186</v>
      </c>
      <c r="B118">
        <v>2011</v>
      </c>
      <c r="C118">
        <v>3</v>
      </c>
      <c r="D118">
        <v>12</v>
      </c>
      <c r="E118">
        <v>30</v>
      </c>
      <c r="F118">
        <v>7.45</v>
      </c>
      <c r="G118">
        <v>1.19</v>
      </c>
      <c r="H118" t="s">
        <v>92</v>
      </c>
      <c r="I118" s="4">
        <f>igre_si[[#This Row],[Play Time]]/(SQRT(igre_si[[#This Row],[Min Players]]*igre_si[[#This Row],[Max Players]]))</f>
        <v>5</v>
      </c>
    </row>
    <row r="119" spans="1:9" x14ac:dyDescent="0.3">
      <c r="A119" t="s">
        <v>76</v>
      </c>
      <c r="B119">
        <v>2010</v>
      </c>
      <c r="C119">
        <v>2</v>
      </c>
      <c r="D119">
        <v>6</v>
      </c>
      <c r="E119">
        <v>240</v>
      </c>
      <c r="F119">
        <v>7.85</v>
      </c>
      <c r="G119">
        <v>4.04</v>
      </c>
      <c r="H119" t="s">
        <v>9</v>
      </c>
      <c r="I119" s="4">
        <f>igre_si[[#This Row],[Play Time]]/(SQRT(igre_si[[#This Row],[Min Players]]*igre_si[[#This Row],[Max Players]]))</f>
        <v>69.282032302755098</v>
      </c>
    </row>
    <row r="120" spans="1:9" x14ac:dyDescent="0.3">
      <c r="A120" t="s">
        <v>136</v>
      </c>
      <c r="B120">
        <v>2008</v>
      </c>
      <c r="C120">
        <v>2</v>
      </c>
      <c r="D120">
        <v>4</v>
      </c>
      <c r="E120">
        <v>30</v>
      </c>
      <c r="F120">
        <v>7.62</v>
      </c>
      <c r="G120">
        <v>2.36</v>
      </c>
      <c r="H120" t="s">
        <v>9</v>
      </c>
      <c r="I120" s="4">
        <f>igre_si[[#This Row],[Play Time]]/(SQRT(igre_si[[#This Row],[Min Players]]*igre_si[[#This Row],[Max Players]]))</f>
        <v>10.606601717798211</v>
      </c>
    </row>
    <row r="121" spans="1:9" x14ac:dyDescent="0.3">
      <c r="A121" t="s">
        <v>108</v>
      </c>
      <c r="B121">
        <v>2009</v>
      </c>
      <c r="C121">
        <v>2</v>
      </c>
      <c r="D121">
        <v>4</v>
      </c>
      <c r="E121">
        <v>30</v>
      </c>
      <c r="F121">
        <v>7.72</v>
      </c>
      <c r="G121">
        <v>2.42</v>
      </c>
      <c r="H121" t="s">
        <v>9</v>
      </c>
      <c r="I121" s="4">
        <f>igre_si[[#This Row],[Play Time]]/(SQRT(igre_si[[#This Row],[Min Players]]*igre_si[[#This Row],[Max Players]]))</f>
        <v>10.606601717798211</v>
      </c>
    </row>
    <row r="122" spans="1:9" x14ac:dyDescent="0.3">
      <c r="A122" t="s">
        <v>459</v>
      </c>
      <c r="B122">
        <v>1500</v>
      </c>
      <c r="C122">
        <v>2</v>
      </c>
      <c r="D122">
        <v>10</v>
      </c>
      <c r="E122">
        <v>30</v>
      </c>
      <c r="F122">
        <v>5.47</v>
      </c>
      <c r="G122">
        <v>1.38</v>
      </c>
      <c r="H122" t="s">
        <v>81</v>
      </c>
      <c r="I122" s="4">
        <f>igre_si[[#This Row],[Play Time]]/(SQRT(igre_si[[#This Row],[Min Players]]*igre_si[[#This Row],[Max Players]]))</f>
        <v>6.7082039324993685</v>
      </c>
    </row>
    <row r="123" spans="1:9" x14ac:dyDescent="0.3">
      <c r="A123" t="s">
        <v>222</v>
      </c>
      <c r="B123">
        <v>2017</v>
      </c>
      <c r="C123">
        <v>2</v>
      </c>
      <c r="D123">
        <v>6</v>
      </c>
      <c r="E123">
        <v>40</v>
      </c>
      <c r="F123">
        <v>7.36</v>
      </c>
      <c r="G123">
        <v>1.74</v>
      </c>
      <c r="H123" t="s">
        <v>39</v>
      </c>
      <c r="I123" s="4">
        <f>igre_si[[#This Row],[Play Time]]/(SQRT(igre_si[[#This Row],[Min Players]]*igre_si[[#This Row],[Max Players]]))</f>
        <v>11.547005383792516</v>
      </c>
    </row>
    <row r="124" spans="1:9" x14ac:dyDescent="0.3">
      <c r="A124" t="s">
        <v>212</v>
      </c>
      <c r="B124">
        <v>2009</v>
      </c>
      <c r="C124">
        <v>2</v>
      </c>
      <c r="D124">
        <v>4</v>
      </c>
      <c r="E124">
        <v>90</v>
      </c>
      <c r="F124">
        <v>7.39</v>
      </c>
      <c r="G124">
        <v>3.56</v>
      </c>
      <c r="H124" t="s">
        <v>9</v>
      </c>
      <c r="I124" s="4">
        <f>igre_si[[#This Row],[Play Time]]/(SQRT(igre_si[[#This Row],[Min Players]]*igre_si[[#This Row],[Max Players]]))</f>
        <v>31.819805153394636</v>
      </c>
    </row>
    <row r="125" spans="1:9" x14ac:dyDescent="0.3">
      <c r="A125" t="s">
        <v>181</v>
      </c>
      <c r="B125">
        <v>2011</v>
      </c>
      <c r="C125">
        <v>2</v>
      </c>
      <c r="D125">
        <v>4</v>
      </c>
      <c r="E125">
        <v>90</v>
      </c>
      <c r="F125">
        <v>7.47</v>
      </c>
      <c r="G125">
        <v>3.6</v>
      </c>
      <c r="H125" t="s">
        <v>9</v>
      </c>
      <c r="I125" s="4">
        <f>igre_si[[#This Row],[Play Time]]/(SQRT(igre_si[[#This Row],[Min Players]]*igre_si[[#This Row],[Max Players]]))</f>
        <v>31.819805153394636</v>
      </c>
    </row>
    <row r="126" spans="1:9" x14ac:dyDescent="0.3">
      <c r="A126" t="s">
        <v>439</v>
      </c>
      <c r="B126">
        <v>2013</v>
      </c>
      <c r="C126">
        <v>1</v>
      </c>
      <c r="D126">
        <v>4</v>
      </c>
      <c r="E126">
        <v>15</v>
      </c>
      <c r="F126">
        <v>6.12</v>
      </c>
      <c r="G126">
        <v>1.33</v>
      </c>
      <c r="H126" t="s">
        <v>39</v>
      </c>
      <c r="I126" s="4">
        <f>igre_si[[#This Row],[Play Time]]/(SQRT(igre_si[[#This Row],[Min Players]]*igre_si[[#This Row],[Max Players]]))</f>
        <v>7.5</v>
      </c>
    </row>
    <row r="127" spans="1:9" x14ac:dyDescent="0.3">
      <c r="A127" t="s">
        <v>65</v>
      </c>
      <c r="B127">
        <v>2011</v>
      </c>
      <c r="C127">
        <v>2</v>
      </c>
      <c r="D127">
        <v>6</v>
      </c>
      <c r="E127">
        <v>180</v>
      </c>
      <c r="F127">
        <v>7.89</v>
      </c>
      <c r="G127">
        <v>3.7</v>
      </c>
      <c r="H127" t="s">
        <v>9</v>
      </c>
      <c r="I127" s="4">
        <f>igre_si[[#This Row],[Play Time]]/(SQRT(igre_si[[#This Row],[Min Players]]*igre_si[[#This Row],[Max Players]]))</f>
        <v>51.96152422706632</v>
      </c>
    </row>
    <row r="128" spans="1:9" x14ac:dyDescent="0.3">
      <c r="A128" t="s">
        <v>106</v>
      </c>
      <c r="B128">
        <v>1995</v>
      </c>
      <c r="C128">
        <v>2</v>
      </c>
      <c r="D128">
        <v>5</v>
      </c>
      <c r="E128">
        <v>120</v>
      </c>
      <c r="F128">
        <v>7.75</v>
      </c>
      <c r="G128">
        <v>3.05</v>
      </c>
      <c r="H128" t="s">
        <v>9</v>
      </c>
      <c r="I128" s="4">
        <f>igre_si[[#This Row],[Play Time]]/(SQRT(igre_si[[#This Row],[Min Players]]*igre_si[[#This Row],[Max Players]]))</f>
        <v>37.947331922020552</v>
      </c>
    </row>
    <row r="129" spans="1:9" x14ac:dyDescent="0.3">
      <c r="A129" t="s">
        <v>346</v>
      </c>
      <c r="B129">
        <v>2011</v>
      </c>
      <c r="C129">
        <v>1</v>
      </c>
      <c r="D129">
        <v>8</v>
      </c>
      <c r="E129">
        <v>90</v>
      </c>
      <c r="F129">
        <v>6.98</v>
      </c>
      <c r="G129">
        <v>2.35</v>
      </c>
      <c r="H129" t="s">
        <v>12</v>
      </c>
      <c r="I129" s="4">
        <f>igre_si[[#This Row],[Play Time]]/(SQRT(igre_si[[#This Row],[Min Players]]*igre_si[[#This Row],[Max Players]]))</f>
        <v>31.819805153394636</v>
      </c>
    </row>
    <row r="130" spans="1:9" x14ac:dyDescent="0.3">
      <c r="A130" t="s">
        <v>84</v>
      </c>
      <c r="B130">
        <v>2013</v>
      </c>
      <c r="C130">
        <v>1</v>
      </c>
      <c r="D130">
        <v>8</v>
      </c>
      <c r="E130">
        <v>240</v>
      </c>
      <c r="F130">
        <v>7.81</v>
      </c>
      <c r="G130">
        <v>3.32</v>
      </c>
      <c r="H130" t="s">
        <v>12</v>
      </c>
      <c r="I130" s="4">
        <f>igre_si[[#This Row],[Play Time]]/(SQRT(igre_si[[#This Row],[Min Players]]*igre_si[[#This Row],[Max Players]]))</f>
        <v>84.852813742385692</v>
      </c>
    </row>
    <row r="131" spans="1:9" x14ac:dyDescent="0.3">
      <c r="A131" t="s">
        <v>264</v>
      </c>
      <c r="B131">
        <v>2015</v>
      </c>
      <c r="C131">
        <v>2</v>
      </c>
      <c r="D131">
        <v>4</v>
      </c>
      <c r="E131">
        <v>60</v>
      </c>
      <c r="F131">
        <v>7.23</v>
      </c>
      <c r="G131">
        <v>2.76</v>
      </c>
      <c r="H131" t="s">
        <v>9</v>
      </c>
      <c r="I131" s="4">
        <f>igre_si[[#This Row],[Play Time]]/(SQRT(igre_si[[#This Row],[Min Players]]*igre_si[[#This Row],[Max Players]]))</f>
        <v>21.213203435596423</v>
      </c>
    </row>
    <row r="132" spans="1:9" x14ac:dyDescent="0.3">
      <c r="A132" t="s">
        <v>323</v>
      </c>
      <c r="B132">
        <v>2011</v>
      </c>
      <c r="C132">
        <v>2</v>
      </c>
      <c r="D132">
        <v>4</v>
      </c>
      <c r="E132">
        <v>45</v>
      </c>
      <c r="F132">
        <v>7.05</v>
      </c>
      <c r="G132">
        <v>2.5</v>
      </c>
      <c r="H132" t="s">
        <v>9</v>
      </c>
      <c r="I132" s="4">
        <f>igre_si[[#This Row],[Play Time]]/(SQRT(igre_si[[#This Row],[Min Players]]*igre_si[[#This Row],[Max Players]]))</f>
        <v>15.909902576697318</v>
      </c>
    </row>
    <row r="133" spans="1:9" x14ac:dyDescent="0.3">
      <c r="A133" t="s">
        <v>418</v>
      </c>
      <c r="B133">
        <v>2015</v>
      </c>
      <c r="C133">
        <v>2</v>
      </c>
      <c r="D133">
        <v>4</v>
      </c>
      <c r="E133">
        <v>40</v>
      </c>
      <c r="F133">
        <v>6.47</v>
      </c>
      <c r="G133">
        <v>2.52</v>
      </c>
      <c r="H133" t="s">
        <v>28</v>
      </c>
      <c r="I133" s="4">
        <f>igre_si[[#This Row],[Play Time]]/(SQRT(igre_si[[#This Row],[Min Players]]*igre_si[[#This Row],[Max Players]]))</f>
        <v>14.142135623730949</v>
      </c>
    </row>
    <row r="134" spans="1:9" x14ac:dyDescent="0.3">
      <c r="A134" t="s">
        <v>180</v>
      </c>
      <c r="B134">
        <v>2017</v>
      </c>
      <c r="C134">
        <v>2</v>
      </c>
      <c r="D134">
        <v>6</v>
      </c>
      <c r="E134">
        <v>60</v>
      </c>
      <c r="F134">
        <v>7.48</v>
      </c>
      <c r="G134">
        <v>2.0299999999999998</v>
      </c>
      <c r="H134" t="s">
        <v>9</v>
      </c>
      <c r="I134" s="4">
        <f>igre_si[[#This Row],[Play Time]]/(SQRT(igre_si[[#This Row],[Min Players]]*igre_si[[#This Row],[Max Players]]))</f>
        <v>17.320508075688775</v>
      </c>
    </row>
    <row r="135" spans="1:9" x14ac:dyDescent="0.3">
      <c r="A135" t="s">
        <v>46</v>
      </c>
      <c r="B135">
        <v>2018</v>
      </c>
      <c r="C135">
        <v>1</v>
      </c>
      <c r="D135">
        <v>4</v>
      </c>
      <c r="E135">
        <v>80</v>
      </c>
      <c r="F135">
        <v>8.08</v>
      </c>
      <c r="G135">
        <v>2.81</v>
      </c>
      <c r="H135" t="s">
        <v>39</v>
      </c>
      <c r="I135" s="4">
        <f>igre_si[[#This Row],[Play Time]]/(SQRT(igre_si[[#This Row],[Min Players]]*igre_si[[#This Row],[Max Players]]))</f>
        <v>40</v>
      </c>
    </row>
    <row r="136" spans="1:9" x14ac:dyDescent="0.3">
      <c r="A136" t="s">
        <v>298</v>
      </c>
      <c r="B136">
        <v>2014</v>
      </c>
      <c r="C136">
        <v>2</v>
      </c>
      <c r="D136">
        <v>6</v>
      </c>
      <c r="E136">
        <v>60</v>
      </c>
      <c r="F136">
        <v>7.13</v>
      </c>
      <c r="G136">
        <v>2.4300000000000002</v>
      </c>
      <c r="H136" t="s">
        <v>9</v>
      </c>
      <c r="I136" s="4">
        <f>igre_si[[#This Row],[Play Time]]/(SQRT(igre_si[[#This Row],[Min Players]]*igre_si[[#This Row],[Max Players]]))</f>
        <v>17.320508075688775</v>
      </c>
    </row>
    <row r="137" spans="1:9" x14ac:dyDescent="0.3">
      <c r="A137" t="s">
        <v>134</v>
      </c>
      <c r="B137">
        <v>2016</v>
      </c>
      <c r="C137">
        <v>2</v>
      </c>
      <c r="D137">
        <v>6</v>
      </c>
      <c r="E137">
        <v>60</v>
      </c>
      <c r="F137">
        <v>7.62</v>
      </c>
      <c r="G137">
        <v>2.78</v>
      </c>
      <c r="H137" t="s">
        <v>9</v>
      </c>
      <c r="I137" s="4">
        <f>igre_si[[#This Row],[Play Time]]/(SQRT(igre_si[[#This Row],[Min Players]]*igre_si[[#This Row],[Max Players]]))</f>
        <v>17.320508075688775</v>
      </c>
    </row>
    <row r="138" spans="1:9" x14ac:dyDescent="0.3">
      <c r="A138" t="s">
        <v>443</v>
      </c>
      <c r="B138">
        <v>2015</v>
      </c>
      <c r="C138">
        <v>2</v>
      </c>
      <c r="D138">
        <v>5</v>
      </c>
      <c r="E138">
        <v>15</v>
      </c>
      <c r="F138">
        <v>6.04</v>
      </c>
      <c r="G138">
        <v>1.07</v>
      </c>
      <c r="H138" t="s">
        <v>92</v>
      </c>
      <c r="I138" s="4">
        <f>igre_si[[#This Row],[Play Time]]/(SQRT(igre_si[[#This Row],[Min Players]]*igre_si[[#This Row],[Max Players]]))</f>
        <v>4.7434164902525691</v>
      </c>
    </row>
    <row r="139" spans="1:9" x14ac:dyDescent="0.3">
      <c r="A139" t="s">
        <v>432</v>
      </c>
      <c r="B139">
        <v>2015</v>
      </c>
      <c r="C139">
        <v>2</v>
      </c>
      <c r="D139">
        <v>5</v>
      </c>
      <c r="E139">
        <v>20</v>
      </c>
      <c r="F139">
        <v>6.22</v>
      </c>
      <c r="G139">
        <v>1.07</v>
      </c>
      <c r="H139" t="s">
        <v>92</v>
      </c>
      <c r="I139" s="4">
        <f>igre_si[[#This Row],[Play Time]]/(SQRT(igre_si[[#This Row],[Min Players]]*igre_si[[#This Row],[Max Players]]))</f>
        <v>6.3245553203367582</v>
      </c>
    </row>
    <row r="140" spans="1:9" x14ac:dyDescent="0.3">
      <c r="A140" t="s">
        <v>386</v>
      </c>
      <c r="B140">
        <v>2004</v>
      </c>
      <c r="C140">
        <v>2</v>
      </c>
      <c r="D140">
        <v>5</v>
      </c>
      <c r="E140">
        <v>30</v>
      </c>
      <c r="F140">
        <v>6.73</v>
      </c>
      <c r="G140">
        <v>1.77</v>
      </c>
      <c r="H140" t="s">
        <v>39</v>
      </c>
      <c r="I140" s="4">
        <f>igre_si[[#This Row],[Play Time]]/(SQRT(igre_si[[#This Row],[Min Players]]*igre_si[[#This Row],[Max Players]]))</f>
        <v>9.4868329805051381</v>
      </c>
    </row>
    <row r="141" spans="1:9" x14ac:dyDescent="0.3">
      <c r="A141" t="s">
        <v>357</v>
      </c>
      <c r="B141">
        <v>2017</v>
      </c>
      <c r="C141">
        <v>1</v>
      </c>
      <c r="D141">
        <v>4</v>
      </c>
      <c r="E141">
        <v>180</v>
      </c>
      <c r="F141">
        <v>6.94</v>
      </c>
      <c r="G141">
        <v>2.99</v>
      </c>
      <c r="H141" t="s">
        <v>12</v>
      </c>
      <c r="I141" s="4">
        <f>igre_si[[#This Row],[Play Time]]/(SQRT(igre_si[[#This Row],[Min Players]]*igre_si[[#This Row],[Max Players]]))</f>
        <v>90</v>
      </c>
    </row>
    <row r="142" spans="1:9" x14ac:dyDescent="0.3">
      <c r="A142" t="s">
        <v>43</v>
      </c>
      <c r="B142">
        <v>2014</v>
      </c>
      <c r="C142">
        <v>1</v>
      </c>
      <c r="D142">
        <v>2</v>
      </c>
      <c r="E142">
        <v>120</v>
      </c>
      <c r="F142">
        <v>8.09</v>
      </c>
      <c r="G142">
        <v>3.88</v>
      </c>
      <c r="H142" t="s">
        <v>9</v>
      </c>
      <c r="I142" s="4">
        <f>igre_si[[#This Row],[Play Time]]/(SQRT(igre_si[[#This Row],[Min Players]]*igre_si[[#This Row],[Max Players]]))</f>
        <v>84.852813742385692</v>
      </c>
    </row>
    <row r="143" spans="1:9" x14ac:dyDescent="0.3">
      <c r="A143" t="s">
        <v>211</v>
      </c>
      <c r="B143">
        <v>2013</v>
      </c>
      <c r="C143">
        <v>1</v>
      </c>
      <c r="D143">
        <v>4</v>
      </c>
      <c r="E143">
        <v>240</v>
      </c>
      <c r="F143">
        <v>7.39</v>
      </c>
      <c r="G143">
        <v>2.96</v>
      </c>
      <c r="H143" t="s">
        <v>12</v>
      </c>
      <c r="I143" s="4">
        <f>igre_si[[#This Row],[Play Time]]/(SQRT(igre_si[[#This Row],[Min Players]]*igre_si[[#This Row],[Max Players]]))</f>
        <v>120</v>
      </c>
    </row>
    <row r="144" spans="1:9" x14ac:dyDescent="0.3">
      <c r="A144" t="s">
        <v>95</v>
      </c>
      <c r="B144">
        <v>2014</v>
      </c>
      <c r="C144">
        <v>2</v>
      </c>
      <c r="D144">
        <v>4</v>
      </c>
      <c r="E144">
        <v>80</v>
      </c>
      <c r="F144">
        <v>7.78</v>
      </c>
      <c r="G144">
        <v>2.86</v>
      </c>
      <c r="H144" t="s">
        <v>9</v>
      </c>
      <c r="I144" s="4">
        <f>igre_si[[#This Row],[Play Time]]/(SQRT(igre_si[[#This Row],[Min Players]]*igre_si[[#This Row],[Max Players]]))</f>
        <v>28.284271247461898</v>
      </c>
    </row>
    <row r="145" spans="1:9" x14ac:dyDescent="0.3">
      <c r="A145" t="s">
        <v>155</v>
      </c>
      <c r="B145">
        <v>2016</v>
      </c>
      <c r="C145">
        <v>2</v>
      </c>
      <c r="D145">
        <v>4</v>
      </c>
      <c r="E145">
        <v>45</v>
      </c>
      <c r="F145">
        <v>7.56</v>
      </c>
      <c r="G145">
        <v>1.67</v>
      </c>
      <c r="H145" t="s">
        <v>39</v>
      </c>
      <c r="I145" s="4">
        <f>igre_si[[#This Row],[Play Time]]/(SQRT(igre_si[[#This Row],[Min Players]]*igre_si[[#This Row],[Max Players]]))</f>
        <v>15.909902576697318</v>
      </c>
    </row>
    <row r="146" spans="1:9" x14ac:dyDescent="0.3">
      <c r="A146" t="s">
        <v>273</v>
      </c>
      <c r="B146">
        <v>2011</v>
      </c>
      <c r="C146">
        <v>2</v>
      </c>
      <c r="D146">
        <v>6</v>
      </c>
      <c r="E146">
        <v>45</v>
      </c>
      <c r="F146">
        <v>7.2</v>
      </c>
      <c r="G146">
        <v>2.21</v>
      </c>
      <c r="H146" t="s">
        <v>39</v>
      </c>
      <c r="I146" s="4">
        <f>igre_si[[#This Row],[Play Time]]/(SQRT(igre_si[[#This Row],[Min Players]]*igre_si[[#This Row],[Max Players]]))</f>
        <v>12.99038105676658</v>
      </c>
    </row>
    <row r="147" spans="1:9" x14ac:dyDescent="0.3">
      <c r="A147" t="s">
        <v>352</v>
      </c>
      <c r="B147">
        <v>2015</v>
      </c>
      <c r="C147">
        <v>2</v>
      </c>
      <c r="D147">
        <v>10</v>
      </c>
      <c r="E147">
        <v>45</v>
      </c>
      <c r="F147">
        <v>6.95</v>
      </c>
      <c r="G147">
        <v>1.33</v>
      </c>
      <c r="H147" t="s">
        <v>39</v>
      </c>
      <c r="I147" s="4">
        <f>igre_si[[#This Row],[Play Time]]/(SQRT(igre_si[[#This Row],[Min Players]]*igre_si[[#This Row],[Max Players]]))</f>
        <v>10.062305898749052</v>
      </c>
    </row>
    <row r="148" spans="1:9" x14ac:dyDescent="0.3">
      <c r="A148" t="s">
        <v>455</v>
      </c>
      <c r="B148">
        <v>1997</v>
      </c>
      <c r="C148">
        <v>2</v>
      </c>
      <c r="D148">
        <v>6</v>
      </c>
      <c r="E148">
        <v>30</v>
      </c>
      <c r="F148">
        <v>5.67</v>
      </c>
      <c r="G148">
        <v>1.39</v>
      </c>
      <c r="H148" t="s">
        <v>39</v>
      </c>
      <c r="I148" s="4">
        <f>igre_si[[#This Row],[Play Time]]/(SQRT(igre_si[[#This Row],[Min Players]]*igre_si[[#This Row],[Max Players]]))</f>
        <v>8.6602540378443873</v>
      </c>
    </row>
    <row r="149" spans="1:9" x14ac:dyDescent="0.3">
      <c r="A149" t="s">
        <v>353</v>
      </c>
      <c r="B149">
        <v>2017</v>
      </c>
      <c r="C149">
        <v>2</v>
      </c>
      <c r="D149">
        <v>2</v>
      </c>
      <c r="E149">
        <v>120</v>
      </c>
      <c r="F149">
        <v>6.95</v>
      </c>
      <c r="G149">
        <v>2.25</v>
      </c>
      <c r="H149" t="s">
        <v>12</v>
      </c>
      <c r="I149" s="4">
        <f>igre_si[[#This Row],[Play Time]]/(SQRT(igre_si[[#This Row],[Min Players]]*igre_si[[#This Row],[Max Players]]))</f>
        <v>60</v>
      </c>
    </row>
    <row r="150" spans="1:9" x14ac:dyDescent="0.3">
      <c r="A150" t="s">
        <v>32</v>
      </c>
      <c r="B150">
        <v>2015</v>
      </c>
      <c r="C150">
        <v>2</v>
      </c>
      <c r="D150">
        <v>5</v>
      </c>
      <c r="E150">
        <v>240</v>
      </c>
      <c r="F150">
        <v>8.14</v>
      </c>
      <c r="G150">
        <v>4.2</v>
      </c>
      <c r="H150" t="s">
        <v>9</v>
      </c>
      <c r="I150" s="4">
        <f>igre_si[[#This Row],[Play Time]]/(SQRT(igre_si[[#This Row],[Min Players]]*igre_si[[#This Row],[Max Players]]))</f>
        <v>75.894663844041105</v>
      </c>
    </row>
    <row r="151" spans="1:9" x14ac:dyDescent="0.3">
      <c r="A151" t="s">
        <v>268</v>
      </c>
      <c r="B151">
        <v>1997</v>
      </c>
      <c r="C151">
        <v>3</v>
      </c>
      <c r="D151">
        <v>6</v>
      </c>
      <c r="E151">
        <v>30</v>
      </c>
      <c r="F151">
        <v>7.22</v>
      </c>
      <c r="G151">
        <v>1.26</v>
      </c>
      <c r="H151" t="s">
        <v>39</v>
      </c>
      <c r="I151" s="4">
        <f>igre_si[[#This Row],[Play Time]]/(SQRT(igre_si[[#This Row],[Min Players]]*igre_si[[#This Row],[Max Players]]))</f>
        <v>7.0710678118654755</v>
      </c>
    </row>
    <row r="152" spans="1:9" x14ac:dyDescent="0.3">
      <c r="A152" t="s">
        <v>292</v>
      </c>
      <c r="B152">
        <v>2013</v>
      </c>
      <c r="C152">
        <v>2</v>
      </c>
      <c r="D152">
        <v>5</v>
      </c>
      <c r="E152">
        <v>45</v>
      </c>
      <c r="F152">
        <v>7.14</v>
      </c>
      <c r="G152">
        <v>2.0499999999999998</v>
      </c>
      <c r="H152" t="s">
        <v>39</v>
      </c>
      <c r="I152" s="4">
        <f>igre_si[[#This Row],[Play Time]]/(SQRT(igre_si[[#This Row],[Min Players]]*igre_si[[#This Row],[Max Players]]))</f>
        <v>14.230249470757705</v>
      </c>
    </row>
    <row r="153" spans="1:9" x14ac:dyDescent="0.3">
      <c r="A153" t="s">
        <v>380</v>
      </c>
      <c r="B153">
        <v>2010</v>
      </c>
      <c r="C153">
        <v>2</v>
      </c>
      <c r="D153">
        <v>4</v>
      </c>
      <c r="E153">
        <v>30</v>
      </c>
      <c r="F153">
        <v>6.79</v>
      </c>
      <c r="G153">
        <v>1.74</v>
      </c>
      <c r="H153" t="s">
        <v>39</v>
      </c>
      <c r="I153" s="4">
        <f>igre_si[[#This Row],[Play Time]]/(SQRT(igre_si[[#This Row],[Min Players]]*igre_si[[#This Row],[Max Players]]))</f>
        <v>10.606601717798211</v>
      </c>
    </row>
    <row r="154" spans="1:9" x14ac:dyDescent="0.3">
      <c r="A154" t="s">
        <v>58</v>
      </c>
      <c r="B154">
        <v>2015</v>
      </c>
      <c r="C154">
        <v>2</v>
      </c>
      <c r="D154">
        <v>4</v>
      </c>
      <c r="E154">
        <v>180</v>
      </c>
      <c r="F154">
        <v>7.97</v>
      </c>
      <c r="G154">
        <v>3.83</v>
      </c>
      <c r="H154" t="s">
        <v>9</v>
      </c>
      <c r="I154" s="4">
        <f>igre_si[[#This Row],[Play Time]]/(SQRT(igre_si[[#This Row],[Min Players]]*igre_si[[#This Row],[Max Players]]))</f>
        <v>63.639610306789272</v>
      </c>
    </row>
    <row r="155" spans="1:9" x14ac:dyDescent="0.3">
      <c r="A155" t="s">
        <v>337</v>
      </c>
      <c r="B155">
        <v>2008</v>
      </c>
      <c r="C155">
        <v>2</v>
      </c>
      <c r="D155">
        <v>10</v>
      </c>
      <c r="E155">
        <v>60</v>
      </c>
      <c r="F155">
        <v>7.02</v>
      </c>
      <c r="G155">
        <v>1.97</v>
      </c>
      <c r="H155" t="s">
        <v>39</v>
      </c>
      <c r="I155" s="4">
        <f>igre_si[[#This Row],[Play Time]]/(SQRT(igre_si[[#This Row],[Min Players]]*igre_si[[#This Row],[Max Players]]))</f>
        <v>13.416407864998737</v>
      </c>
    </row>
    <row r="156" spans="1:9" x14ac:dyDescent="0.3">
      <c r="A156" t="s">
        <v>246</v>
      </c>
      <c r="B156">
        <v>2010</v>
      </c>
      <c r="C156">
        <v>2</v>
      </c>
      <c r="D156">
        <v>4</v>
      </c>
      <c r="E156">
        <v>60</v>
      </c>
      <c r="F156">
        <v>7.29</v>
      </c>
      <c r="G156">
        <v>2.64</v>
      </c>
      <c r="H156" t="s">
        <v>39</v>
      </c>
      <c r="I156" s="4">
        <f>igre_si[[#This Row],[Play Time]]/(SQRT(igre_si[[#This Row],[Min Players]]*igre_si[[#This Row],[Max Players]]))</f>
        <v>21.213203435596423</v>
      </c>
    </row>
    <row r="157" spans="1:9" x14ac:dyDescent="0.3">
      <c r="A157" t="s">
        <v>295</v>
      </c>
      <c r="B157">
        <v>2011</v>
      </c>
      <c r="C157">
        <v>1</v>
      </c>
      <c r="D157">
        <v>1</v>
      </c>
      <c r="E157">
        <v>25</v>
      </c>
      <c r="F157">
        <v>7.14</v>
      </c>
      <c r="G157">
        <v>2.14</v>
      </c>
      <c r="H157" t="s">
        <v>9</v>
      </c>
      <c r="I157" s="4">
        <f>igre_si[[#This Row],[Play Time]]/(SQRT(igre_si[[#This Row],[Min Players]]*igre_si[[#This Row],[Max Players]]))</f>
        <v>25</v>
      </c>
    </row>
    <row r="158" spans="1:9" x14ac:dyDescent="0.3">
      <c r="A158" t="s">
        <v>320</v>
      </c>
      <c r="B158">
        <v>2015</v>
      </c>
      <c r="C158">
        <v>1</v>
      </c>
      <c r="D158">
        <v>5</v>
      </c>
      <c r="E158">
        <v>10</v>
      </c>
      <c r="F158">
        <v>7.06</v>
      </c>
      <c r="G158">
        <v>1.67</v>
      </c>
      <c r="H158" t="s">
        <v>39</v>
      </c>
      <c r="I158" s="4">
        <f>igre_si[[#This Row],[Play Time]]/(SQRT(igre_si[[#This Row],[Min Players]]*igre_si[[#This Row],[Max Players]]))</f>
        <v>4.4721359549995796</v>
      </c>
    </row>
    <row r="159" spans="1:9" x14ac:dyDescent="0.3">
      <c r="A159" t="s">
        <v>15</v>
      </c>
      <c r="B159">
        <v>2017</v>
      </c>
      <c r="C159">
        <v>1</v>
      </c>
      <c r="D159">
        <v>4</v>
      </c>
      <c r="E159">
        <v>150</v>
      </c>
      <c r="F159">
        <v>8.49</v>
      </c>
      <c r="G159">
        <v>4.3499999999999996</v>
      </c>
      <c r="H159" t="s">
        <v>9</v>
      </c>
      <c r="I159" s="4">
        <f>igre_si[[#This Row],[Play Time]]/(SQRT(igre_si[[#This Row],[Min Players]]*igre_si[[#This Row],[Max Players]]))</f>
        <v>75</v>
      </c>
    </row>
    <row r="160" spans="1:9" x14ac:dyDescent="0.3">
      <c r="A160" t="s">
        <v>203</v>
      </c>
      <c r="B160">
        <v>2007</v>
      </c>
      <c r="C160">
        <v>2</v>
      </c>
      <c r="D160">
        <v>4</v>
      </c>
      <c r="E160">
        <v>60</v>
      </c>
      <c r="F160">
        <v>7.41</v>
      </c>
      <c r="G160">
        <v>2.33</v>
      </c>
      <c r="H160" t="s">
        <v>12</v>
      </c>
      <c r="I160" s="4">
        <f>igre_si[[#This Row],[Play Time]]/(SQRT(igre_si[[#This Row],[Min Players]]*igre_si[[#This Row],[Max Players]]))</f>
        <v>21.213203435596423</v>
      </c>
    </row>
    <row r="161" spans="1:9" x14ac:dyDescent="0.3">
      <c r="A161" t="s">
        <v>438</v>
      </c>
      <c r="B161">
        <v>2007</v>
      </c>
      <c r="C161">
        <v>3</v>
      </c>
      <c r="D161">
        <v>6</v>
      </c>
      <c r="E161">
        <v>20</v>
      </c>
      <c r="F161">
        <v>6.15</v>
      </c>
      <c r="G161">
        <v>1.1200000000000001</v>
      </c>
      <c r="H161" t="s">
        <v>39</v>
      </c>
      <c r="I161" s="4">
        <f>igre_si[[#This Row],[Play Time]]/(SQRT(igre_si[[#This Row],[Min Players]]*igre_si[[#This Row],[Max Players]]))</f>
        <v>4.714045207910317</v>
      </c>
    </row>
    <row r="162" spans="1:9" x14ac:dyDescent="0.3">
      <c r="A162" t="s">
        <v>390</v>
      </c>
      <c r="B162">
        <v>2010</v>
      </c>
      <c r="C162">
        <v>2</v>
      </c>
      <c r="D162">
        <v>8</v>
      </c>
      <c r="E162">
        <v>20</v>
      </c>
      <c r="F162">
        <v>6.71</v>
      </c>
      <c r="G162">
        <v>1.1499999999999999</v>
      </c>
      <c r="H162" t="s">
        <v>39</v>
      </c>
      <c r="I162" s="4">
        <f>igre_si[[#This Row],[Play Time]]/(SQRT(igre_si[[#This Row],[Min Players]]*igre_si[[#This Row],[Max Players]]))</f>
        <v>5</v>
      </c>
    </row>
    <row r="163" spans="1:9" x14ac:dyDescent="0.3">
      <c r="A163" t="s">
        <v>231</v>
      </c>
      <c r="B163">
        <v>2008</v>
      </c>
      <c r="C163">
        <v>1</v>
      </c>
      <c r="D163">
        <v>4</v>
      </c>
      <c r="E163">
        <v>60</v>
      </c>
      <c r="F163">
        <v>7.32</v>
      </c>
      <c r="G163">
        <v>2.91</v>
      </c>
      <c r="H163" t="s">
        <v>9</v>
      </c>
      <c r="I163" s="4">
        <f>igre_si[[#This Row],[Play Time]]/(SQRT(igre_si[[#This Row],[Min Players]]*igre_si[[#This Row],[Max Players]]))</f>
        <v>30</v>
      </c>
    </row>
    <row r="164" spans="1:9" x14ac:dyDescent="0.3">
      <c r="A164" t="s">
        <v>190</v>
      </c>
      <c r="B164">
        <v>2018</v>
      </c>
      <c r="C164">
        <v>2</v>
      </c>
      <c r="D164">
        <v>4</v>
      </c>
      <c r="E164">
        <v>50</v>
      </c>
      <c r="F164">
        <v>7.45</v>
      </c>
      <c r="G164">
        <v>2.02</v>
      </c>
      <c r="H164" t="s">
        <v>39</v>
      </c>
      <c r="I164" s="4">
        <f>igre_si[[#This Row],[Play Time]]/(SQRT(igre_si[[#This Row],[Min Players]]*igre_si[[#This Row],[Max Players]]))</f>
        <v>17.677669529663685</v>
      </c>
    </row>
    <row r="165" spans="1:9" x14ac:dyDescent="0.3">
      <c r="A165" t="s">
        <v>187</v>
      </c>
      <c r="B165">
        <v>2013</v>
      </c>
      <c r="C165">
        <v>1</v>
      </c>
      <c r="D165">
        <v>4</v>
      </c>
      <c r="E165">
        <v>80</v>
      </c>
      <c r="F165">
        <v>7.45</v>
      </c>
      <c r="G165">
        <v>2.97</v>
      </c>
      <c r="H165" t="s">
        <v>9</v>
      </c>
      <c r="I165" s="4">
        <f>igre_si[[#This Row],[Play Time]]/(SQRT(igre_si[[#This Row],[Min Players]]*igre_si[[#This Row],[Max Players]]))</f>
        <v>40</v>
      </c>
    </row>
    <row r="166" spans="1:9" x14ac:dyDescent="0.3">
      <c r="A166" t="s">
        <v>425</v>
      </c>
      <c r="B166">
        <v>2005</v>
      </c>
      <c r="C166">
        <v>2</v>
      </c>
      <c r="D166">
        <v>4</v>
      </c>
      <c r="E166">
        <v>60</v>
      </c>
      <c r="F166">
        <v>6.34</v>
      </c>
      <c r="G166">
        <v>1.63</v>
      </c>
      <c r="H166" t="s">
        <v>12</v>
      </c>
      <c r="I166" s="4">
        <f>igre_si[[#This Row],[Play Time]]/(SQRT(igre_si[[#This Row],[Min Players]]*igre_si[[#This Row],[Max Players]]))</f>
        <v>21.213203435596423</v>
      </c>
    </row>
    <row r="167" spans="1:9" x14ac:dyDescent="0.3">
      <c r="A167" t="s">
        <v>10</v>
      </c>
      <c r="B167">
        <v>2017</v>
      </c>
      <c r="C167">
        <v>1</v>
      </c>
      <c r="D167">
        <v>4</v>
      </c>
      <c r="E167">
        <v>120</v>
      </c>
      <c r="F167">
        <v>8.7899999999999991</v>
      </c>
      <c r="G167">
        <v>3.86</v>
      </c>
      <c r="H167" t="s">
        <v>9</v>
      </c>
      <c r="I167" s="4">
        <f>igre_si[[#This Row],[Play Time]]/(SQRT(igre_si[[#This Row],[Min Players]]*igre_si[[#This Row],[Max Players]]))</f>
        <v>60</v>
      </c>
    </row>
    <row r="168" spans="1:9" x14ac:dyDescent="0.3">
      <c r="A168" t="s">
        <v>8</v>
      </c>
      <c r="B168">
        <v>2020</v>
      </c>
      <c r="C168">
        <v>1</v>
      </c>
      <c r="D168">
        <v>4</v>
      </c>
      <c r="E168">
        <v>120</v>
      </c>
      <c r="F168">
        <v>8.8699999999999992</v>
      </c>
      <c r="G168">
        <v>3.55</v>
      </c>
      <c r="H168" t="s">
        <v>9</v>
      </c>
      <c r="I168" s="4">
        <f>igre_si[[#This Row],[Play Time]]/(SQRT(igre_si[[#This Row],[Min Players]]*igre_si[[#This Row],[Max Players]]))</f>
        <v>60</v>
      </c>
    </row>
    <row r="169" spans="1:9" x14ac:dyDescent="0.3">
      <c r="A169" t="s">
        <v>177</v>
      </c>
      <c r="B169">
        <v>2005</v>
      </c>
      <c r="C169">
        <v>2</v>
      </c>
      <c r="D169">
        <v>5</v>
      </c>
      <c r="E169">
        <v>60</v>
      </c>
      <c r="F169">
        <v>7.49</v>
      </c>
      <c r="G169">
        <v>2.93</v>
      </c>
      <c r="H169" t="s">
        <v>9</v>
      </c>
      <c r="I169" s="4">
        <f>igre_si[[#This Row],[Play Time]]/(SQRT(igre_si[[#This Row],[Min Players]]*igre_si[[#This Row],[Max Players]]))</f>
        <v>18.973665961010276</v>
      </c>
    </row>
    <row r="170" spans="1:9" x14ac:dyDescent="0.3">
      <c r="A170" t="s">
        <v>131</v>
      </c>
      <c r="B170">
        <v>-2200</v>
      </c>
      <c r="C170">
        <v>2</v>
      </c>
      <c r="D170">
        <v>2</v>
      </c>
      <c r="E170">
        <v>180</v>
      </c>
      <c r="F170">
        <v>7.64</v>
      </c>
      <c r="G170">
        <v>4</v>
      </c>
      <c r="H170" t="s">
        <v>81</v>
      </c>
      <c r="I170" s="4">
        <f>igre_si[[#This Row],[Play Time]]/(SQRT(igre_si[[#This Row],[Min Players]]*igre_si[[#This Row],[Max Players]]))</f>
        <v>90</v>
      </c>
    </row>
    <row r="171" spans="1:9" x14ac:dyDescent="0.3">
      <c r="A171" t="s">
        <v>148</v>
      </c>
      <c r="B171">
        <v>2004</v>
      </c>
      <c r="C171">
        <v>2</v>
      </c>
      <c r="D171">
        <v>4</v>
      </c>
      <c r="E171">
        <v>90</v>
      </c>
      <c r="F171">
        <v>7.58</v>
      </c>
      <c r="G171">
        <v>3.38</v>
      </c>
      <c r="H171" t="s">
        <v>9</v>
      </c>
      <c r="I171" s="4">
        <f>igre_si[[#This Row],[Play Time]]/(SQRT(igre_si[[#This Row],[Min Players]]*igre_si[[#This Row],[Max Players]]))</f>
        <v>31.819805153394636</v>
      </c>
    </row>
    <row r="172" spans="1:9" x14ac:dyDescent="0.3">
      <c r="A172" t="s">
        <v>75</v>
      </c>
      <c r="B172">
        <v>2015</v>
      </c>
      <c r="C172">
        <v>2</v>
      </c>
      <c r="D172">
        <v>4</v>
      </c>
      <c r="E172">
        <v>120</v>
      </c>
      <c r="F172">
        <v>7.85</v>
      </c>
      <c r="G172">
        <v>3.22</v>
      </c>
      <c r="H172" t="s">
        <v>9</v>
      </c>
      <c r="I172" s="4">
        <f>igre_si[[#This Row],[Play Time]]/(SQRT(igre_si[[#This Row],[Min Players]]*igre_si[[#This Row],[Max Players]]))</f>
        <v>42.426406871192846</v>
      </c>
    </row>
    <row r="173" spans="1:9" x14ac:dyDescent="0.3">
      <c r="A173" t="s">
        <v>20</v>
      </c>
      <c r="B173">
        <v>2016</v>
      </c>
      <c r="C173">
        <v>2</v>
      </c>
      <c r="D173">
        <v>4</v>
      </c>
      <c r="E173">
        <v>150</v>
      </c>
      <c r="F173">
        <v>8.3000000000000007</v>
      </c>
      <c r="G173">
        <v>3.71</v>
      </c>
      <c r="H173" t="s">
        <v>9</v>
      </c>
      <c r="I173" s="4">
        <f>igre_si[[#This Row],[Play Time]]/(SQRT(igre_si[[#This Row],[Min Players]]*igre_si[[#This Row],[Max Players]]))</f>
        <v>53.033008588991059</v>
      </c>
    </row>
    <row r="174" spans="1:9" x14ac:dyDescent="0.3">
      <c r="A174" t="s">
        <v>412</v>
      </c>
      <c r="B174">
        <v>1998</v>
      </c>
      <c r="C174">
        <v>2</v>
      </c>
      <c r="D174">
        <v>5</v>
      </c>
      <c r="E174">
        <v>30</v>
      </c>
      <c r="F174">
        <v>6.53</v>
      </c>
      <c r="G174">
        <v>1.27</v>
      </c>
      <c r="H174" t="s">
        <v>39</v>
      </c>
      <c r="I174" s="4">
        <f>igre_si[[#This Row],[Play Time]]/(SQRT(igre_si[[#This Row],[Min Players]]*igre_si[[#This Row],[Max Players]]))</f>
        <v>9.4868329805051381</v>
      </c>
    </row>
    <row r="175" spans="1:9" x14ac:dyDescent="0.3">
      <c r="A175" t="s">
        <v>312</v>
      </c>
      <c r="B175">
        <v>2010</v>
      </c>
      <c r="C175">
        <v>2</v>
      </c>
      <c r="D175">
        <v>5</v>
      </c>
      <c r="E175">
        <v>25</v>
      </c>
      <c r="F175">
        <v>7.08</v>
      </c>
      <c r="G175">
        <v>1.7</v>
      </c>
      <c r="H175" t="s">
        <v>39</v>
      </c>
      <c r="I175" s="4">
        <f>igre_si[[#This Row],[Play Time]]/(SQRT(igre_si[[#This Row],[Min Players]]*igre_si[[#This Row],[Max Players]]))</f>
        <v>7.9056941504209481</v>
      </c>
    </row>
    <row r="176" spans="1:9" x14ac:dyDescent="0.3">
      <c r="A176" t="s">
        <v>162</v>
      </c>
      <c r="B176">
        <v>2013</v>
      </c>
      <c r="C176">
        <v>2</v>
      </c>
      <c r="D176">
        <v>2</v>
      </c>
      <c r="E176">
        <v>15</v>
      </c>
      <c r="F176">
        <v>7.54</v>
      </c>
      <c r="G176">
        <v>1.71</v>
      </c>
      <c r="H176" t="s">
        <v>39</v>
      </c>
      <c r="I176" s="4">
        <f>igre_si[[#This Row],[Play Time]]/(SQRT(igre_si[[#This Row],[Min Players]]*igre_si[[#This Row],[Max Players]]))</f>
        <v>7.5</v>
      </c>
    </row>
    <row r="177" spans="1:9" x14ac:dyDescent="0.3">
      <c r="A177" t="s">
        <v>126</v>
      </c>
      <c r="B177">
        <v>2009</v>
      </c>
      <c r="C177">
        <v>2</v>
      </c>
      <c r="D177">
        <v>5</v>
      </c>
      <c r="E177">
        <v>90</v>
      </c>
      <c r="F177">
        <v>7.65</v>
      </c>
      <c r="G177">
        <v>3.12</v>
      </c>
      <c r="H177" t="s">
        <v>9</v>
      </c>
      <c r="I177" s="4">
        <f>igre_si[[#This Row],[Play Time]]/(SQRT(igre_si[[#This Row],[Min Players]]*igre_si[[#This Row],[Max Players]]))</f>
        <v>28.460498941515411</v>
      </c>
    </row>
    <row r="178" spans="1:9" x14ac:dyDescent="0.3">
      <c r="A178" t="s">
        <v>183</v>
      </c>
      <c r="B178">
        <v>2016</v>
      </c>
      <c r="C178">
        <v>2</v>
      </c>
      <c r="D178">
        <v>4</v>
      </c>
      <c r="E178">
        <v>60</v>
      </c>
      <c r="F178">
        <v>7.46</v>
      </c>
      <c r="G178">
        <v>2.08</v>
      </c>
      <c r="H178" t="s">
        <v>9</v>
      </c>
      <c r="I178" s="4">
        <f>igre_si[[#This Row],[Play Time]]/(SQRT(igre_si[[#This Row],[Min Players]]*igre_si[[#This Row],[Max Players]]))</f>
        <v>21.213203435596423</v>
      </c>
    </row>
    <row r="179" spans="1:9" x14ac:dyDescent="0.3">
      <c r="A179" t="s">
        <v>140</v>
      </c>
      <c r="B179">
        <v>2016</v>
      </c>
      <c r="C179">
        <v>2</v>
      </c>
      <c r="D179">
        <v>4</v>
      </c>
      <c r="E179">
        <v>30</v>
      </c>
      <c r="F179">
        <v>7.6</v>
      </c>
      <c r="G179">
        <v>1.9</v>
      </c>
      <c r="H179" t="s">
        <v>28</v>
      </c>
      <c r="I179" s="4">
        <f>igre_si[[#This Row],[Play Time]]/(SQRT(igre_si[[#This Row],[Min Players]]*igre_si[[#This Row],[Max Players]]))</f>
        <v>10.606601717798211</v>
      </c>
    </row>
    <row r="180" spans="1:9" x14ac:dyDescent="0.3">
      <c r="A180" t="s">
        <v>294</v>
      </c>
      <c r="B180">
        <v>1989</v>
      </c>
      <c r="C180">
        <v>2</v>
      </c>
      <c r="D180">
        <v>5</v>
      </c>
      <c r="E180">
        <v>90</v>
      </c>
      <c r="F180">
        <v>7.14</v>
      </c>
      <c r="G180">
        <v>2.16</v>
      </c>
      <c r="H180" t="s">
        <v>12</v>
      </c>
      <c r="I180" s="4">
        <f>igre_si[[#This Row],[Play Time]]/(SQRT(igre_si[[#This Row],[Min Players]]*igre_si[[#This Row],[Max Players]]))</f>
        <v>28.460498941515411</v>
      </c>
    </row>
    <row r="181" spans="1:9" x14ac:dyDescent="0.3">
      <c r="A181" t="s">
        <v>392</v>
      </c>
      <c r="B181">
        <v>2003</v>
      </c>
      <c r="C181">
        <v>2</v>
      </c>
      <c r="D181">
        <v>4</v>
      </c>
      <c r="E181">
        <v>20</v>
      </c>
      <c r="F181">
        <v>6.7</v>
      </c>
      <c r="G181">
        <v>1.46</v>
      </c>
      <c r="H181" t="s">
        <v>81</v>
      </c>
      <c r="I181" s="4">
        <f>igre_si[[#This Row],[Play Time]]/(SQRT(igre_si[[#This Row],[Min Players]]*igre_si[[#This Row],[Max Players]]))</f>
        <v>7.0710678118654746</v>
      </c>
    </row>
    <row r="182" spans="1:9" x14ac:dyDescent="0.3">
      <c r="A182" t="s">
        <v>324</v>
      </c>
      <c r="B182">
        <v>1995</v>
      </c>
      <c r="C182">
        <v>3</v>
      </c>
      <c r="D182">
        <v>5</v>
      </c>
      <c r="E182">
        <v>30</v>
      </c>
      <c r="F182">
        <v>7.05</v>
      </c>
      <c r="G182">
        <v>1.5</v>
      </c>
      <c r="H182" t="s">
        <v>39</v>
      </c>
      <c r="I182" s="4">
        <f>igre_si[[#This Row],[Play Time]]/(SQRT(igre_si[[#This Row],[Min Players]]*igre_si[[#This Row],[Max Players]]))</f>
        <v>7.7459666924148332</v>
      </c>
    </row>
    <row r="183" spans="1:9" x14ac:dyDescent="0.3">
      <c r="A183" t="s">
        <v>232</v>
      </c>
      <c r="B183">
        <v>2000</v>
      </c>
      <c r="C183">
        <v>2</v>
      </c>
      <c r="D183">
        <v>2</v>
      </c>
      <c r="E183">
        <v>20</v>
      </c>
      <c r="F183">
        <v>7.32</v>
      </c>
      <c r="G183">
        <v>2.33</v>
      </c>
      <c r="H183" t="s">
        <v>81</v>
      </c>
      <c r="I183" s="4">
        <f>igre_si[[#This Row],[Play Time]]/(SQRT(igre_si[[#This Row],[Min Players]]*igre_si[[#This Row],[Max Players]]))</f>
        <v>10</v>
      </c>
    </row>
    <row r="184" spans="1:9" x14ac:dyDescent="0.3">
      <c r="A184" t="s">
        <v>78</v>
      </c>
      <c r="B184">
        <v>2019</v>
      </c>
      <c r="C184">
        <v>1</v>
      </c>
      <c r="D184">
        <v>5</v>
      </c>
      <c r="E184">
        <v>60</v>
      </c>
      <c r="F184">
        <v>7.84</v>
      </c>
      <c r="G184">
        <v>2.0499999999999998</v>
      </c>
      <c r="H184" t="s">
        <v>12</v>
      </c>
      <c r="I184" s="4">
        <f>igre_si[[#This Row],[Play Time]]/(SQRT(igre_si[[#This Row],[Min Players]]*igre_si[[#This Row],[Max Players]]))</f>
        <v>26.832815729997474</v>
      </c>
    </row>
    <row r="185" spans="1:9" x14ac:dyDescent="0.3">
      <c r="A185" t="s">
        <v>376</v>
      </c>
      <c r="B185">
        <v>2016</v>
      </c>
      <c r="C185">
        <v>2</v>
      </c>
      <c r="D185">
        <v>4</v>
      </c>
      <c r="E185">
        <v>30</v>
      </c>
      <c r="F185">
        <v>6.83</v>
      </c>
      <c r="G185">
        <v>1.02</v>
      </c>
      <c r="H185" t="s">
        <v>355</v>
      </c>
      <c r="I185" s="4">
        <f>igre_si[[#This Row],[Play Time]]/(SQRT(igre_si[[#This Row],[Min Players]]*igre_si[[#This Row],[Max Players]]))</f>
        <v>10.606601717798211</v>
      </c>
    </row>
    <row r="186" spans="1:9" x14ac:dyDescent="0.3">
      <c r="A186" t="s">
        <v>275</v>
      </c>
      <c r="B186">
        <v>2016</v>
      </c>
      <c r="C186">
        <v>2</v>
      </c>
      <c r="D186">
        <v>4</v>
      </c>
      <c r="E186">
        <v>40</v>
      </c>
      <c r="F186">
        <v>7.2</v>
      </c>
      <c r="G186">
        <v>2.0099999999999998</v>
      </c>
      <c r="H186" t="s">
        <v>39</v>
      </c>
      <c r="I186" s="4">
        <f>igre_si[[#This Row],[Play Time]]/(SQRT(igre_si[[#This Row],[Min Players]]*igre_si[[#This Row],[Max Players]]))</f>
        <v>14.142135623730949</v>
      </c>
    </row>
    <row r="187" spans="1:9" x14ac:dyDescent="0.3">
      <c r="A187" t="s">
        <v>201</v>
      </c>
      <c r="B187">
        <v>2014</v>
      </c>
      <c r="C187">
        <v>1</v>
      </c>
      <c r="D187">
        <v>4</v>
      </c>
      <c r="E187">
        <v>90</v>
      </c>
      <c r="F187">
        <v>7.41</v>
      </c>
      <c r="G187">
        <v>2.77</v>
      </c>
      <c r="H187" t="s">
        <v>9</v>
      </c>
      <c r="I187" s="4">
        <f>igre_si[[#This Row],[Play Time]]/(SQRT(igre_si[[#This Row],[Min Players]]*igre_si[[#This Row],[Max Players]]))</f>
        <v>45</v>
      </c>
    </row>
    <row r="188" spans="1:9" x14ac:dyDescent="0.3">
      <c r="A188" t="s">
        <v>303</v>
      </c>
      <c r="B188">
        <v>2004</v>
      </c>
      <c r="C188">
        <v>1</v>
      </c>
      <c r="D188">
        <v>4</v>
      </c>
      <c r="E188">
        <v>45</v>
      </c>
      <c r="F188">
        <v>7.12</v>
      </c>
      <c r="G188">
        <v>1.92</v>
      </c>
      <c r="H188" t="s">
        <v>81</v>
      </c>
      <c r="I188" s="4">
        <f>igre_si[[#This Row],[Play Time]]/(SQRT(igre_si[[#This Row],[Min Players]]*igre_si[[#This Row],[Max Players]]))</f>
        <v>22.5</v>
      </c>
    </row>
    <row r="189" spans="1:9" x14ac:dyDescent="0.3">
      <c r="A189" t="s">
        <v>89</v>
      </c>
      <c r="B189">
        <v>2016</v>
      </c>
      <c r="C189">
        <v>2</v>
      </c>
      <c r="D189">
        <v>4</v>
      </c>
      <c r="E189">
        <v>90</v>
      </c>
      <c r="F189">
        <v>7.8</v>
      </c>
      <c r="G189">
        <v>2.88</v>
      </c>
      <c r="H189" t="s">
        <v>9</v>
      </c>
      <c r="I189" s="4">
        <f>igre_si[[#This Row],[Play Time]]/(SQRT(igre_si[[#This Row],[Min Players]]*igre_si[[#This Row],[Max Players]]))</f>
        <v>31.819805153394636</v>
      </c>
    </row>
    <row r="190" spans="1:9" x14ac:dyDescent="0.3">
      <c r="A190" t="s">
        <v>259</v>
      </c>
      <c r="B190">
        <v>2010</v>
      </c>
      <c r="C190">
        <v>2</v>
      </c>
      <c r="D190">
        <v>4</v>
      </c>
      <c r="E190">
        <v>60</v>
      </c>
      <c r="F190">
        <v>7.25</v>
      </c>
      <c r="G190">
        <v>2.74</v>
      </c>
      <c r="H190" t="s">
        <v>9</v>
      </c>
      <c r="I190" s="4">
        <f>igre_si[[#This Row],[Play Time]]/(SQRT(igre_si[[#This Row],[Min Players]]*igre_si[[#This Row],[Max Players]]))</f>
        <v>21.213203435596423</v>
      </c>
    </row>
    <row r="191" spans="1:9" x14ac:dyDescent="0.3">
      <c r="A191" t="s">
        <v>146</v>
      </c>
      <c r="B191">
        <v>2014</v>
      </c>
      <c r="C191">
        <v>2</v>
      </c>
      <c r="D191">
        <v>5</v>
      </c>
      <c r="E191">
        <v>60</v>
      </c>
      <c r="F191">
        <v>7.58</v>
      </c>
      <c r="G191">
        <v>2.58</v>
      </c>
      <c r="H191" t="s">
        <v>9</v>
      </c>
      <c r="I191" s="4">
        <f>igre_si[[#This Row],[Play Time]]/(SQRT(igre_si[[#This Row],[Min Players]]*igre_si[[#This Row],[Max Players]]))</f>
        <v>18.973665961010276</v>
      </c>
    </row>
    <row r="192" spans="1:9" x14ac:dyDescent="0.3">
      <c r="A192" t="s">
        <v>173</v>
      </c>
      <c r="B192">
        <v>2009</v>
      </c>
      <c r="C192">
        <v>2</v>
      </c>
      <c r="D192">
        <v>2</v>
      </c>
      <c r="E192">
        <v>30</v>
      </c>
      <c r="F192">
        <v>7.51</v>
      </c>
      <c r="G192">
        <v>1.49</v>
      </c>
      <c r="H192" t="s">
        <v>39</v>
      </c>
      <c r="I192" s="4">
        <f>igre_si[[#This Row],[Play Time]]/(SQRT(igre_si[[#This Row],[Min Players]]*igre_si[[#This Row],[Max Players]]))</f>
        <v>15</v>
      </c>
    </row>
    <row r="193" spans="1:9" x14ac:dyDescent="0.3">
      <c r="A193" t="s">
        <v>319</v>
      </c>
      <c r="B193">
        <v>2007</v>
      </c>
      <c r="C193">
        <v>2</v>
      </c>
      <c r="D193">
        <v>6</v>
      </c>
      <c r="E193">
        <v>60</v>
      </c>
      <c r="F193">
        <v>7.06</v>
      </c>
      <c r="G193">
        <v>1.65</v>
      </c>
      <c r="H193" t="s">
        <v>39</v>
      </c>
      <c r="I193" s="4">
        <f>igre_si[[#This Row],[Play Time]]/(SQRT(igre_si[[#This Row],[Min Players]]*igre_si[[#This Row],[Max Players]]))</f>
        <v>17.320508075688775</v>
      </c>
    </row>
    <row r="194" spans="1:9" x14ac:dyDescent="0.3">
      <c r="A194" t="s">
        <v>457</v>
      </c>
      <c r="B194">
        <v>1983</v>
      </c>
      <c r="C194">
        <v>1</v>
      </c>
      <c r="D194">
        <v>8</v>
      </c>
      <c r="E194">
        <v>20</v>
      </c>
      <c r="F194">
        <v>5.6</v>
      </c>
      <c r="G194">
        <v>1.1200000000000001</v>
      </c>
      <c r="H194" t="s">
        <v>92</v>
      </c>
      <c r="I194" s="4">
        <f>igre_si[[#This Row],[Play Time]]/(SQRT(igre_si[[#This Row],[Min Players]]*igre_si[[#This Row],[Max Players]]))</f>
        <v>7.0710678118654746</v>
      </c>
    </row>
    <row r="195" spans="1:9" x14ac:dyDescent="0.3">
      <c r="A195" t="s">
        <v>419</v>
      </c>
      <c r="B195">
        <v>2016</v>
      </c>
      <c r="C195">
        <v>3</v>
      </c>
      <c r="D195">
        <v>10</v>
      </c>
      <c r="E195">
        <v>90</v>
      </c>
      <c r="F195">
        <v>6.41</v>
      </c>
      <c r="G195">
        <v>1.04</v>
      </c>
      <c r="H195" t="s">
        <v>92</v>
      </c>
      <c r="I195" s="4">
        <f>igre_si[[#This Row],[Play Time]]/(SQRT(igre_si[[#This Row],[Min Players]]*igre_si[[#This Row],[Max Players]]))</f>
        <v>16.431676725154983</v>
      </c>
    </row>
    <row r="196" spans="1:9" x14ac:dyDescent="0.3">
      <c r="A196" t="s">
        <v>416</v>
      </c>
      <c r="B196">
        <v>1997</v>
      </c>
      <c r="C196">
        <v>2</v>
      </c>
      <c r="D196">
        <v>8</v>
      </c>
      <c r="E196">
        <v>10</v>
      </c>
      <c r="F196">
        <v>6.5</v>
      </c>
      <c r="G196">
        <v>1.1399999999999999</v>
      </c>
      <c r="H196" t="s">
        <v>92</v>
      </c>
      <c r="I196" s="4">
        <f>igre_si[[#This Row],[Play Time]]/(SQRT(igre_si[[#This Row],[Min Players]]*igre_si[[#This Row],[Max Players]]))</f>
        <v>2.5</v>
      </c>
    </row>
    <row r="197" spans="1:9" x14ac:dyDescent="0.3">
      <c r="A197" t="s">
        <v>141</v>
      </c>
      <c r="B197">
        <v>2018</v>
      </c>
      <c r="C197">
        <v>3</v>
      </c>
      <c r="D197">
        <v>7</v>
      </c>
      <c r="E197">
        <v>20</v>
      </c>
      <c r="F197">
        <v>7.6</v>
      </c>
      <c r="G197">
        <v>1.05</v>
      </c>
      <c r="H197" t="s">
        <v>92</v>
      </c>
      <c r="I197" s="4">
        <f>igre_si[[#This Row],[Play Time]]/(SQRT(igre_si[[#This Row],[Min Players]]*igre_si[[#This Row],[Max Players]]))</f>
        <v>4.3643578047198481</v>
      </c>
    </row>
    <row r="198" spans="1:9" x14ac:dyDescent="0.3">
      <c r="A198" t="s">
        <v>400</v>
      </c>
      <c r="B198">
        <v>1998</v>
      </c>
      <c r="C198">
        <v>2</v>
      </c>
      <c r="D198">
        <v>2</v>
      </c>
      <c r="E198">
        <v>40</v>
      </c>
      <c r="F198">
        <v>6.63</v>
      </c>
      <c r="G198">
        <v>2.06</v>
      </c>
      <c r="H198" t="s">
        <v>81</v>
      </c>
      <c r="I198" s="4">
        <f>igre_si[[#This Row],[Play Time]]/(SQRT(igre_si[[#This Row],[Min Players]]*igre_si[[#This Row],[Max Players]]))</f>
        <v>20</v>
      </c>
    </row>
    <row r="199" spans="1:9" x14ac:dyDescent="0.3">
      <c r="A199" t="s">
        <v>446</v>
      </c>
      <c r="B199">
        <v>700</v>
      </c>
      <c r="C199">
        <v>2</v>
      </c>
      <c r="D199">
        <v>2</v>
      </c>
      <c r="E199">
        <v>10</v>
      </c>
      <c r="F199">
        <v>5.92</v>
      </c>
      <c r="G199">
        <v>1.62</v>
      </c>
      <c r="H199" t="s">
        <v>81</v>
      </c>
      <c r="I199" s="4">
        <f>igre_si[[#This Row],[Play Time]]/(SQRT(igre_si[[#This Row],[Min Players]]*igre_si[[#This Row],[Max Players]]))</f>
        <v>5</v>
      </c>
    </row>
    <row r="200" spans="1:9" x14ac:dyDescent="0.3">
      <c r="A200" t="s">
        <v>308</v>
      </c>
      <c r="B200">
        <v>2016</v>
      </c>
      <c r="C200">
        <v>2</v>
      </c>
      <c r="D200">
        <v>4</v>
      </c>
      <c r="E200">
        <v>45</v>
      </c>
      <c r="F200">
        <v>7.1</v>
      </c>
      <c r="G200">
        <v>2.0299999999999998</v>
      </c>
      <c r="H200" t="s">
        <v>39</v>
      </c>
      <c r="I200" s="4">
        <f>igre_si[[#This Row],[Play Time]]/(SQRT(igre_si[[#This Row],[Min Players]]*igre_si[[#This Row],[Max Players]]))</f>
        <v>15.909902576697318</v>
      </c>
    </row>
    <row r="201" spans="1:9" x14ac:dyDescent="0.3">
      <c r="A201" t="s">
        <v>270</v>
      </c>
      <c r="B201">
        <v>2015</v>
      </c>
      <c r="C201">
        <v>2</v>
      </c>
      <c r="D201">
        <v>4</v>
      </c>
      <c r="E201">
        <v>40</v>
      </c>
      <c r="F201">
        <v>7.21</v>
      </c>
      <c r="G201">
        <v>1.46</v>
      </c>
      <c r="H201" t="s">
        <v>39</v>
      </c>
      <c r="I201" s="4">
        <f>igre_si[[#This Row],[Play Time]]/(SQRT(igre_si[[#This Row],[Min Players]]*igre_si[[#This Row],[Max Players]]))</f>
        <v>14.142135623730949</v>
      </c>
    </row>
    <row r="202" spans="1:9" x14ac:dyDescent="0.3">
      <c r="A202" t="s">
        <v>110</v>
      </c>
      <c r="B202">
        <v>2012</v>
      </c>
      <c r="C202">
        <v>2</v>
      </c>
      <c r="D202">
        <v>5</v>
      </c>
      <c r="E202">
        <v>120</v>
      </c>
      <c r="F202">
        <v>7.72</v>
      </c>
      <c r="G202">
        <v>3.01</v>
      </c>
      <c r="H202" t="s">
        <v>9</v>
      </c>
      <c r="I202" s="4">
        <f>igre_si[[#This Row],[Play Time]]/(SQRT(igre_si[[#This Row],[Min Players]]*igre_si[[#This Row],[Max Players]]))</f>
        <v>37.947331922020552</v>
      </c>
    </row>
    <row r="203" spans="1:9" x14ac:dyDescent="0.3">
      <c r="A203" t="s">
        <v>88</v>
      </c>
      <c r="B203">
        <v>2012</v>
      </c>
      <c r="C203">
        <v>2</v>
      </c>
      <c r="D203">
        <v>6</v>
      </c>
      <c r="E203">
        <v>120</v>
      </c>
      <c r="F203">
        <v>7.8</v>
      </c>
      <c r="G203">
        <v>3.35</v>
      </c>
      <c r="H203" t="s">
        <v>9</v>
      </c>
      <c r="I203" s="4">
        <f>igre_si[[#This Row],[Play Time]]/(SQRT(igre_si[[#This Row],[Min Players]]*igre_si[[#This Row],[Max Players]]))</f>
        <v>34.641016151377549</v>
      </c>
    </row>
    <row r="204" spans="1:9" x14ac:dyDescent="0.3">
      <c r="A204" t="s">
        <v>247</v>
      </c>
      <c r="B204">
        <v>2018</v>
      </c>
      <c r="C204">
        <v>2</v>
      </c>
      <c r="D204">
        <v>2</v>
      </c>
      <c r="E204">
        <v>45</v>
      </c>
      <c r="F204">
        <v>7.28</v>
      </c>
      <c r="G204">
        <v>2.46</v>
      </c>
      <c r="H204" t="s">
        <v>28</v>
      </c>
      <c r="I204" s="4">
        <f>igre_si[[#This Row],[Play Time]]/(SQRT(igre_si[[#This Row],[Min Players]]*igre_si[[#This Row],[Max Players]]))</f>
        <v>22.5</v>
      </c>
    </row>
    <row r="205" spans="1:9" x14ac:dyDescent="0.3">
      <c r="A205" t="s">
        <v>437</v>
      </c>
      <c r="B205">
        <v>1996</v>
      </c>
      <c r="C205">
        <v>3</v>
      </c>
      <c r="D205">
        <v>8</v>
      </c>
      <c r="E205">
        <v>45</v>
      </c>
      <c r="F205">
        <v>6.15</v>
      </c>
      <c r="G205">
        <v>1.65</v>
      </c>
      <c r="H205" t="s">
        <v>39</v>
      </c>
      <c r="I205" s="4">
        <f>igre_si[[#This Row],[Play Time]]/(SQRT(igre_si[[#This Row],[Min Players]]*igre_si[[#This Row],[Max Players]]))</f>
        <v>9.1855865354369186</v>
      </c>
    </row>
    <row r="206" spans="1:9" x14ac:dyDescent="0.3">
      <c r="A206" t="s">
        <v>349</v>
      </c>
      <c r="B206">
        <v>2014</v>
      </c>
      <c r="C206">
        <v>2</v>
      </c>
      <c r="D206">
        <v>6</v>
      </c>
      <c r="E206">
        <v>40</v>
      </c>
      <c r="F206">
        <v>6.96</v>
      </c>
      <c r="G206">
        <v>1.87</v>
      </c>
      <c r="H206" t="s">
        <v>39</v>
      </c>
      <c r="I206" s="4">
        <f>igre_si[[#This Row],[Play Time]]/(SQRT(igre_si[[#This Row],[Min Players]]*igre_si[[#This Row],[Max Players]]))</f>
        <v>11.547005383792516</v>
      </c>
    </row>
    <row r="207" spans="1:9" x14ac:dyDescent="0.3">
      <c r="A207" t="s">
        <v>282</v>
      </c>
      <c r="B207">
        <v>2011</v>
      </c>
      <c r="C207">
        <v>2</v>
      </c>
      <c r="D207">
        <v>6</v>
      </c>
      <c r="E207">
        <v>30</v>
      </c>
      <c r="F207">
        <v>7.18</v>
      </c>
      <c r="G207">
        <v>1.49</v>
      </c>
      <c r="H207" t="s">
        <v>39</v>
      </c>
      <c r="I207" s="4">
        <f>igre_si[[#This Row],[Play Time]]/(SQRT(igre_si[[#This Row],[Min Players]]*igre_si[[#This Row],[Max Players]]))</f>
        <v>8.6602540378443873</v>
      </c>
    </row>
    <row r="208" spans="1:9" x14ac:dyDescent="0.3">
      <c r="A208" t="s">
        <v>350</v>
      </c>
      <c r="B208">
        <v>2011</v>
      </c>
      <c r="C208">
        <v>2</v>
      </c>
      <c r="D208">
        <v>4</v>
      </c>
      <c r="E208">
        <v>45</v>
      </c>
      <c r="F208">
        <v>6.96</v>
      </c>
      <c r="G208">
        <v>2.0699999999999998</v>
      </c>
      <c r="H208" t="s">
        <v>39</v>
      </c>
      <c r="I208" s="4">
        <f>igre_si[[#This Row],[Play Time]]/(SQRT(igre_si[[#This Row],[Min Players]]*igre_si[[#This Row],[Max Players]]))</f>
        <v>15.909902576697318</v>
      </c>
    </row>
    <row r="209" spans="1:9" x14ac:dyDescent="0.3">
      <c r="A209" t="s">
        <v>11</v>
      </c>
      <c r="B209">
        <v>2015</v>
      </c>
      <c r="C209">
        <v>1</v>
      </c>
      <c r="D209">
        <v>4</v>
      </c>
      <c r="E209">
        <v>180</v>
      </c>
      <c r="F209">
        <v>8.66</v>
      </c>
      <c r="G209">
        <v>4.25</v>
      </c>
      <c r="H209" t="s">
        <v>12</v>
      </c>
      <c r="I209" s="4">
        <f>igre_si[[#This Row],[Play Time]]/(SQRT(igre_si[[#This Row],[Min Players]]*igre_si[[#This Row],[Max Players]]))</f>
        <v>90</v>
      </c>
    </row>
    <row r="210" spans="1:9" x14ac:dyDescent="0.3">
      <c r="A210" t="s">
        <v>223</v>
      </c>
      <c r="B210">
        <v>2016</v>
      </c>
      <c r="C210">
        <v>2</v>
      </c>
      <c r="D210">
        <v>4</v>
      </c>
      <c r="E210">
        <v>15</v>
      </c>
      <c r="F210">
        <v>7.35</v>
      </c>
      <c r="G210">
        <v>1.21</v>
      </c>
      <c r="H210" t="s">
        <v>39</v>
      </c>
      <c r="I210" s="4">
        <f>igre_si[[#This Row],[Play Time]]/(SQRT(igre_si[[#This Row],[Min Players]]*igre_si[[#This Row],[Max Players]]))</f>
        <v>5.3033008588991057</v>
      </c>
    </row>
    <row r="211" spans="1:9" x14ac:dyDescent="0.3">
      <c r="A211" t="s">
        <v>279</v>
      </c>
      <c r="B211">
        <v>2007</v>
      </c>
      <c r="C211">
        <v>2</v>
      </c>
      <c r="D211">
        <v>5</v>
      </c>
      <c r="E211">
        <v>90</v>
      </c>
      <c r="F211">
        <v>7.19</v>
      </c>
      <c r="G211">
        <v>2.4300000000000002</v>
      </c>
      <c r="H211" t="s">
        <v>39</v>
      </c>
      <c r="I211" s="4">
        <f>igre_si[[#This Row],[Play Time]]/(SQRT(igre_si[[#This Row],[Min Players]]*igre_si[[#This Row],[Max Players]]))</f>
        <v>28.460498941515411</v>
      </c>
    </row>
    <row r="212" spans="1:9" x14ac:dyDescent="0.3">
      <c r="A212" t="s">
        <v>122</v>
      </c>
      <c r="B212">
        <v>2014</v>
      </c>
      <c r="C212">
        <v>1</v>
      </c>
      <c r="D212">
        <v>4</v>
      </c>
      <c r="E212">
        <v>120</v>
      </c>
      <c r="F212">
        <v>7.67</v>
      </c>
      <c r="G212">
        <v>3.58</v>
      </c>
      <c r="H212" t="s">
        <v>9</v>
      </c>
      <c r="I212" s="4">
        <f>igre_si[[#This Row],[Play Time]]/(SQRT(igre_si[[#This Row],[Min Players]]*igre_si[[#This Row],[Max Players]]))</f>
        <v>60</v>
      </c>
    </row>
    <row r="213" spans="1:9" x14ac:dyDescent="0.3">
      <c r="A213" t="s">
        <v>420</v>
      </c>
      <c r="B213">
        <v>1986</v>
      </c>
      <c r="C213">
        <v>2</v>
      </c>
      <c r="D213">
        <v>4</v>
      </c>
      <c r="E213">
        <v>20</v>
      </c>
      <c r="F213">
        <v>6.41</v>
      </c>
      <c r="G213">
        <v>1.37</v>
      </c>
      <c r="H213" t="s">
        <v>39</v>
      </c>
      <c r="I213" s="4">
        <f>igre_si[[#This Row],[Play Time]]/(SQRT(igre_si[[#This Row],[Min Players]]*igre_si[[#This Row],[Max Players]]))</f>
        <v>7.0710678118654746</v>
      </c>
    </row>
    <row r="214" spans="1:9" x14ac:dyDescent="0.3">
      <c r="A214" t="s">
        <v>360</v>
      </c>
      <c r="B214">
        <v>2015</v>
      </c>
      <c r="C214">
        <v>2</v>
      </c>
      <c r="D214">
        <v>4</v>
      </c>
      <c r="E214">
        <v>30</v>
      </c>
      <c r="F214">
        <v>6.92</v>
      </c>
      <c r="G214">
        <v>1.57</v>
      </c>
      <c r="H214" t="s">
        <v>39</v>
      </c>
      <c r="I214" s="4">
        <f>igre_si[[#This Row],[Play Time]]/(SQRT(igre_si[[#This Row],[Min Players]]*igre_si[[#This Row],[Max Players]]))</f>
        <v>10.606601717798211</v>
      </c>
    </row>
    <row r="215" spans="1:9" x14ac:dyDescent="0.3">
      <c r="A215" t="s">
        <v>299</v>
      </c>
      <c r="B215">
        <v>2012</v>
      </c>
      <c r="C215">
        <v>2</v>
      </c>
      <c r="D215">
        <v>5</v>
      </c>
      <c r="E215">
        <v>30</v>
      </c>
      <c r="F215">
        <v>7.13</v>
      </c>
      <c r="G215">
        <v>1.19</v>
      </c>
      <c r="H215" t="s">
        <v>39</v>
      </c>
      <c r="I215" s="4">
        <f>igre_si[[#This Row],[Play Time]]/(SQRT(igre_si[[#This Row],[Min Players]]*igre_si[[#This Row],[Max Players]]))</f>
        <v>9.4868329805051381</v>
      </c>
    </row>
    <row r="216" spans="1:9" x14ac:dyDescent="0.3">
      <c r="A216" t="s">
        <v>280</v>
      </c>
      <c r="B216">
        <v>2011</v>
      </c>
      <c r="C216">
        <v>2</v>
      </c>
      <c r="D216">
        <v>5</v>
      </c>
      <c r="E216">
        <v>75</v>
      </c>
      <c r="F216">
        <v>7.19</v>
      </c>
      <c r="G216">
        <v>2.71</v>
      </c>
      <c r="H216" t="s">
        <v>9</v>
      </c>
      <c r="I216" s="4">
        <f>igre_si[[#This Row],[Play Time]]/(SQRT(igre_si[[#This Row],[Min Players]]*igre_si[[#This Row],[Max Players]]))</f>
        <v>23.717082451262844</v>
      </c>
    </row>
    <row r="217" spans="1:9" x14ac:dyDescent="0.3">
      <c r="A217" t="s">
        <v>72</v>
      </c>
      <c r="B217">
        <v>2008</v>
      </c>
      <c r="C217">
        <v>1</v>
      </c>
      <c r="D217">
        <v>5</v>
      </c>
      <c r="E217">
        <v>150</v>
      </c>
      <c r="F217">
        <v>7.87</v>
      </c>
      <c r="G217">
        <v>3.74</v>
      </c>
      <c r="H217" t="s">
        <v>9</v>
      </c>
      <c r="I217" s="4">
        <f>igre_si[[#This Row],[Play Time]]/(SQRT(igre_si[[#This Row],[Min Players]]*igre_si[[#This Row],[Max Players]]))</f>
        <v>67.082039324993687</v>
      </c>
    </row>
    <row r="218" spans="1:9" x14ac:dyDescent="0.3">
      <c r="A218" t="s">
        <v>269</v>
      </c>
      <c r="B218">
        <v>2012</v>
      </c>
      <c r="C218">
        <v>2</v>
      </c>
      <c r="D218">
        <v>4</v>
      </c>
      <c r="E218">
        <v>90</v>
      </c>
      <c r="F218">
        <v>7.21</v>
      </c>
      <c r="G218">
        <v>2.77</v>
      </c>
      <c r="H218" t="s">
        <v>12</v>
      </c>
      <c r="I218" s="4">
        <f>igre_si[[#This Row],[Play Time]]/(SQRT(igre_si[[#This Row],[Min Players]]*igre_si[[#This Row],[Max Players]]))</f>
        <v>31.819805153394636</v>
      </c>
    </row>
    <row r="219" spans="1:9" x14ac:dyDescent="0.3">
      <c r="A219" t="s">
        <v>206</v>
      </c>
      <c r="B219">
        <v>2011</v>
      </c>
      <c r="C219">
        <v>2</v>
      </c>
      <c r="D219">
        <v>6</v>
      </c>
      <c r="E219">
        <v>60</v>
      </c>
      <c r="F219">
        <v>7.4</v>
      </c>
      <c r="G219">
        <v>2.66</v>
      </c>
      <c r="H219" t="s">
        <v>9</v>
      </c>
      <c r="I219" s="4">
        <f>igre_si[[#This Row],[Play Time]]/(SQRT(igre_si[[#This Row],[Min Players]]*igre_si[[#This Row],[Max Players]]))</f>
        <v>17.320508075688775</v>
      </c>
    </row>
    <row r="220" spans="1:9" x14ac:dyDescent="0.3">
      <c r="A220" t="s">
        <v>176</v>
      </c>
      <c r="B220">
        <v>2013</v>
      </c>
      <c r="C220">
        <v>1</v>
      </c>
      <c r="D220">
        <v>5</v>
      </c>
      <c r="E220">
        <v>120</v>
      </c>
      <c r="F220">
        <v>7.49</v>
      </c>
      <c r="G220">
        <v>3.34</v>
      </c>
      <c r="H220" t="s">
        <v>9</v>
      </c>
      <c r="I220" s="4">
        <f>igre_si[[#This Row],[Play Time]]/(SQRT(igre_si[[#This Row],[Min Players]]*igre_si[[#This Row],[Max Players]]))</f>
        <v>53.665631459994948</v>
      </c>
    </row>
    <row r="221" spans="1:9" x14ac:dyDescent="0.3">
      <c r="A221" t="s">
        <v>286</v>
      </c>
      <c r="B221">
        <v>2012</v>
      </c>
      <c r="C221">
        <v>2</v>
      </c>
      <c r="D221">
        <v>6</v>
      </c>
      <c r="E221">
        <v>60</v>
      </c>
      <c r="F221">
        <v>7.16</v>
      </c>
      <c r="G221">
        <v>2.2400000000000002</v>
      </c>
      <c r="H221" t="s">
        <v>9</v>
      </c>
      <c r="I221" s="4">
        <f>igre_si[[#This Row],[Play Time]]/(SQRT(igre_si[[#This Row],[Min Players]]*igre_si[[#This Row],[Max Players]]))</f>
        <v>17.320508075688775</v>
      </c>
    </row>
    <row r="222" spans="1:9" x14ac:dyDescent="0.3">
      <c r="A222" t="s">
        <v>26</v>
      </c>
      <c r="B222">
        <v>2017</v>
      </c>
      <c r="C222">
        <v>1</v>
      </c>
      <c r="D222">
        <v>4</v>
      </c>
      <c r="E222">
        <v>120</v>
      </c>
      <c r="F222">
        <v>8.18</v>
      </c>
      <c r="G222">
        <v>4.57</v>
      </c>
      <c r="H222" t="s">
        <v>9</v>
      </c>
      <c r="I222" s="4">
        <f>igre_si[[#This Row],[Play Time]]/(SQRT(igre_si[[#This Row],[Min Players]]*igre_si[[#This Row],[Max Players]]))</f>
        <v>60</v>
      </c>
    </row>
    <row r="223" spans="1:9" x14ac:dyDescent="0.3">
      <c r="A223" t="s">
        <v>381</v>
      </c>
      <c r="B223">
        <v>1992</v>
      </c>
      <c r="C223">
        <v>2</v>
      </c>
      <c r="D223">
        <v>4</v>
      </c>
      <c r="E223">
        <v>10</v>
      </c>
      <c r="F223">
        <v>6.78</v>
      </c>
      <c r="G223">
        <v>1.05</v>
      </c>
      <c r="H223" t="s">
        <v>355</v>
      </c>
      <c r="I223" s="4">
        <f>igre_si[[#This Row],[Play Time]]/(SQRT(igre_si[[#This Row],[Min Players]]*igre_si[[#This Row],[Max Players]]))</f>
        <v>3.5355339059327373</v>
      </c>
    </row>
    <row r="224" spans="1:9" x14ac:dyDescent="0.3">
      <c r="A224" t="s">
        <v>428</v>
      </c>
      <c r="B224">
        <v>1992</v>
      </c>
      <c r="C224">
        <v>2</v>
      </c>
      <c r="D224">
        <v>8</v>
      </c>
      <c r="E224">
        <v>20</v>
      </c>
      <c r="F224">
        <v>6.3</v>
      </c>
      <c r="G224">
        <v>1.38</v>
      </c>
      <c r="H224" t="s">
        <v>39</v>
      </c>
      <c r="I224" s="4">
        <f>igre_si[[#This Row],[Play Time]]/(SQRT(igre_si[[#This Row],[Min Players]]*igre_si[[#This Row],[Max Players]]))</f>
        <v>5</v>
      </c>
    </row>
    <row r="225" spans="1:9" x14ac:dyDescent="0.3">
      <c r="A225" t="s">
        <v>104</v>
      </c>
      <c r="B225">
        <v>2012</v>
      </c>
      <c r="C225">
        <v>2</v>
      </c>
      <c r="D225">
        <v>5</v>
      </c>
      <c r="E225">
        <v>120</v>
      </c>
      <c r="F225">
        <v>7.75</v>
      </c>
      <c r="G225">
        <v>2.46</v>
      </c>
      <c r="H225" t="s">
        <v>9</v>
      </c>
      <c r="I225" s="4">
        <f>igre_si[[#This Row],[Play Time]]/(SQRT(igre_si[[#This Row],[Min Players]]*igre_si[[#This Row],[Max Players]]))</f>
        <v>37.947331922020552</v>
      </c>
    </row>
    <row r="226" spans="1:9" x14ac:dyDescent="0.3">
      <c r="A226" t="s">
        <v>64</v>
      </c>
      <c r="B226">
        <v>2016</v>
      </c>
      <c r="C226">
        <v>2</v>
      </c>
      <c r="D226">
        <v>4</v>
      </c>
      <c r="E226">
        <v>120</v>
      </c>
      <c r="F226">
        <v>7.89</v>
      </c>
      <c r="G226">
        <v>3.28</v>
      </c>
      <c r="H226" t="s">
        <v>9</v>
      </c>
      <c r="I226" s="4">
        <f>igre_si[[#This Row],[Play Time]]/(SQRT(igre_si[[#This Row],[Min Players]]*igre_si[[#This Row],[Max Players]]))</f>
        <v>42.426406871192846</v>
      </c>
    </row>
    <row r="227" spans="1:9" x14ac:dyDescent="0.3">
      <c r="A227" t="s">
        <v>283</v>
      </c>
      <c r="B227">
        <v>1999</v>
      </c>
      <c r="C227">
        <v>2</v>
      </c>
      <c r="D227">
        <v>2</v>
      </c>
      <c r="E227">
        <v>30</v>
      </c>
      <c r="F227">
        <v>7.18</v>
      </c>
      <c r="G227">
        <v>1.5</v>
      </c>
      <c r="H227" t="s">
        <v>39</v>
      </c>
      <c r="I227" s="4">
        <f>igre_si[[#This Row],[Play Time]]/(SQRT(igre_si[[#This Row],[Min Players]]*igre_si[[#This Row],[Max Players]]))</f>
        <v>15</v>
      </c>
    </row>
    <row r="228" spans="1:9" x14ac:dyDescent="0.3">
      <c r="A228" t="s">
        <v>263</v>
      </c>
      <c r="B228">
        <v>2012</v>
      </c>
      <c r="C228">
        <v>2</v>
      </c>
      <c r="D228">
        <v>4</v>
      </c>
      <c r="E228">
        <v>20</v>
      </c>
      <c r="F228">
        <v>7.23</v>
      </c>
      <c r="G228">
        <v>1.19</v>
      </c>
      <c r="H228" t="s">
        <v>39</v>
      </c>
      <c r="I228" s="4">
        <f>igre_si[[#This Row],[Play Time]]/(SQRT(igre_si[[#This Row],[Min Players]]*igre_si[[#This Row],[Max Players]]))</f>
        <v>7.0710678118654746</v>
      </c>
    </row>
    <row r="229" spans="1:9" x14ac:dyDescent="0.3">
      <c r="A229" t="s">
        <v>398</v>
      </c>
      <c r="B229">
        <v>2012</v>
      </c>
      <c r="C229">
        <v>2</v>
      </c>
      <c r="D229">
        <v>4</v>
      </c>
      <c r="E229">
        <v>30</v>
      </c>
      <c r="F229">
        <v>6.63</v>
      </c>
      <c r="G229">
        <v>1.53</v>
      </c>
      <c r="H229" t="s">
        <v>39</v>
      </c>
      <c r="I229" s="4">
        <f>igre_si[[#This Row],[Play Time]]/(SQRT(igre_si[[#This Row],[Min Players]]*igre_si[[#This Row],[Max Players]]))</f>
        <v>10.606601717798211</v>
      </c>
    </row>
    <row r="230" spans="1:9" x14ac:dyDescent="0.3">
      <c r="A230" t="s">
        <v>40</v>
      </c>
      <c r="B230">
        <v>2011</v>
      </c>
      <c r="C230">
        <v>1</v>
      </c>
      <c r="D230">
        <v>4</v>
      </c>
      <c r="E230">
        <v>240</v>
      </c>
      <c r="F230">
        <v>8.1</v>
      </c>
      <c r="G230">
        <v>4.3099999999999996</v>
      </c>
      <c r="H230" t="s">
        <v>9</v>
      </c>
      <c r="I230" s="4">
        <f>igre_si[[#This Row],[Play Time]]/(SQRT(igre_si[[#This Row],[Min Players]]*igre_si[[#This Row],[Max Players]]))</f>
        <v>120</v>
      </c>
    </row>
    <row r="231" spans="1:9" x14ac:dyDescent="0.3">
      <c r="A231" t="s">
        <v>128</v>
      </c>
      <c r="B231">
        <v>2012</v>
      </c>
      <c r="C231">
        <v>2</v>
      </c>
      <c r="D231">
        <v>2</v>
      </c>
      <c r="E231">
        <v>90</v>
      </c>
      <c r="F231">
        <v>7.64</v>
      </c>
      <c r="G231">
        <v>3.67</v>
      </c>
      <c r="H231" t="s">
        <v>28</v>
      </c>
      <c r="I231" s="4">
        <f>igre_si[[#This Row],[Play Time]]/(SQRT(igre_si[[#This Row],[Min Players]]*igre_si[[#This Row],[Max Players]]))</f>
        <v>45</v>
      </c>
    </row>
    <row r="232" spans="1:9" x14ac:dyDescent="0.3">
      <c r="A232" t="s">
        <v>325</v>
      </c>
      <c r="B232">
        <v>2017</v>
      </c>
      <c r="C232">
        <v>1</v>
      </c>
      <c r="D232">
        <v>8</v>
      </c>
      <c r="E232">
        <v>15</v>
      </c>
      <c r="F232">
        <v>7.05</v>
      </c>
      <c r="G232">
        <v>1.75</v>
      </c>
      <c r="H232" t="s">
        <v>39</v>
      </c>
      <c r="I232" s="4">
        <f>igre_si[[#This Row],[Play Time]]/(SQRT(igre_si[[#This Row],[Min Players]]*igre_si[[#This Row],[Max Players]]))</f>
        <v>5.3033008588991057</v>
      </c>
    </row>
    <row r="233" spans="1:9" x14ac:dyDescent="0.3">
      <c r="A233" t="s">
        <v>169</v>
      </c>
      <c r="B233">
        <v>1993</v>
      </c>
      <c r="C233">
        <v>2</v>
      </c>
      <c r="D233">
        <v>2</v>
      </c>
      <c r="E233">
        <v>20</v>
      </c>
      <c r="F233">
        <v>7.52</v>
      </c>
      <c r="G233">
        <v>3.22</v>
      </c>
      <c r="H233" t="s">
        <v>28</v>
      </c>
      <c r="I233" s="4">
        <f>igre_si[[#This Row],[Play Time]]/(SQRT(igre_si[[#This Row],[Min Players]]*igre_si[[#This Row],[Max Players]]))</f>
        <v>10</v>
      </c>
    </row>
    <row r="234" spans="1:9" x14ac:dyDescent="0.3">
      <c r="A234" t="s">
        <v>243</v>
      </c>
      <c r="B234">
        <v>2011</v>
      </c>
      <c r="C234">
        <v>2</v>
      </c>
      <c r="D234">
        <v>5</v>
      </c>
      <c r="E234">
        <v>180</v>
      </c>
      <c r="F234">
        <v>7.29</v>
      </c>
      <c r="G234">
        <v>3.24</v>
      </c>
      <c r="H234" t="s">
        <v>12</v>
      </c>
      <c r="I234" s="4">
        <f>igre_si[[#This Row],[Play Time]]/(SQRT(igre_si[[#This Row],[Min Players]]*igre_si[[#This Row],[Max Players]]))</f>
        <v>56.920997883030822</v>
      </c>
    </row>
    <row r="235" spans="1:9" x14ac:dyDescent="0.3">
      <c r="A235" t="s">
        <v>23</v>
      </c>
      <c r="B235">
        <v>2019</v>
      </c>
      <c r="C235">
        <v>1</v>
      </c>
      <c r="D235">
        <v>4</v>
      </c>
      <c r="E235">
        <v>120</v>
      </c>
      <c r="F235">
        <v>8.2899999999999991</v>
      </c>
      <c r="G235">
        <v>3.87</v>
      </c>
      <c r="H235" t="s">
        <v>9</v>
      </c>
      <c r="I235" s="4">
        <f>igre_si[[#This Row],[Play Time]]/(SQRT(igre_si[[#This Row],[Min Players]]*igre_si[[#This Row],[Max Players]]))</f>
        <v>60</v>
      </c>
    </row>
    <row r="236" spans="1:9" x14ac:dyDescent="0.3">
      <c r="A236" t="s">
        <v>401</v>
      </c>
      <c r="B236">
        <v>2013</v>
      </c>
      <c r="C236">
        <v>2</v>
      </c>
      <c r="D236">
        <v>13</v>
      </c>
      <c r="E236">
        <v>30</v>
      </c>
      <c r="F236">
        <v>6.62</v>
      </c>
      <c r="G236">
        <v>1.53</v>
      </c>
      <c r="H236" t="s">
        <v>92</v>
      </c>
      <c r="I236" s="4">
        <f>igre_si[[#This Row],[Play Time]]/(SQRT(igre_si[[#This Row],[Min Players]]*igre_si[[#This Row],[Max Players]]))</f>
        <v>5.8834840541455211</v>
      </c>
    </row>
    <row r="237" spans="1:9" x14ac:dyDescent="0.3">
      <c r="A237" t="s">
        <v>48</v>
      </c>
      <c r="B237">
        <v>2016</v>
      </c>
      <c r="C237">
        <v>2</v>
      </c>
      <c r="D237">
        <v>4</v>
      </c>
      <c r="E237">
        <v>120</v>
      </c>
      <c r="F237">
        <v>8.0500000000000007</v>
      </c>
      <c r="G237">
        <v>2.41</v>
      </c>
      <c r="H237" t="s">
        <v>9</v>
      </c>
      <c r="I237" s="4">
        <f>igre_si[[#This Row],[Play Time]]/(SQRT(igre_si[[#This Row],[Min Players]]*igre_si[[#This Row],[Max Players]]))</f>
        <v>42.426406871192846</v>
      </c>
    </row>
    <row r="238" spans="1:9" x14ac:dyDescent="0.3">
      <c r="A238" t="s">
        <v>156</v>
      </c>
      <c r="B238">
        <v>2004</v>
      </c>
      <c r="C238">
        <v>2</v>
      </c>
      <c r="D238">
        <v>8</v>
      </c>
      <c r="E238">
        <v>60</v>
      </c>
      <c r="F238">
        <v>7.56</v>
      </c>
      <c r="G238">
        <v>2.27</v>
      </c>
      <c r="H238" t="s">
        <v>94</v>
      </c>
      <c r="I238" s="4">
        <f>igre_si[[#This Row],[Play Time]]/(SQRT(igre_si[[#This Row],[Min Players]]*igre_si[[#This Row],[Max Players]]))</f>
        <v>15</v>
      </c>
    </row>
    <row r="239" spans="1:9" x14ac:dyDescent="0.3">
      <c r="A239" t="s">
        <v>200</v>
      </c>
      <c r="B239">
        <v>2010</v>
      </c>
      <c r="C239">
        <v>2</v>
      </c>
      <c r="D239">
        <v>4</v>
      </c>
      <c r="E239">
        <v>180</v>
      </c>
      <c r="F239">
        <v>7.41</v>
      </c>
      <c r="G239">
        <v>3.24</v>
      </c>
      <c r="H239" t="s">
        <v>12</v>
      </c>
      <c r="I239" s="4">
        <f>igre_si[[#This Row],[Play Time]]/(SQRT(igre_si[[#This Row],[Min Players]]*igre_si[[#This Row],[Max Players]]))</f>
        <v>63.639610306789272</v>
      </c>
    </row>
    <row r="240" spans="1:9" x14ac:dyDescent="0.3">
      <c r="A240" t="s">
        <v>238</v>
      </c>
      <c r="B240">
        <v>2012</v>
      </c>
      <c r="C240">
        <v>1</v>
      </c>
      <c r="D240">
        <v>4</v>
      </c>
      <c r="E240">
        <v>90</v>
      </c>
      <c r="F240">
        <v>7.3</v>
      </c>
      <c r="G240">
        <v>2.71</v>
      </c>
      <c r="H240" t="s">
        <v>12</v>
      </c>
      <c r="I240" s="4">
        <f>igre_si[[#This Row],[Play Time]]/(SQRT(igre_si[[#This Row],[Min Players]]*igre_si[[#This Row],[Max Players]]))</f>
        <v>45</v>
      </c>
    </row>
    <row r="241" spans="1:9" x14ac:dyDescent="0.3">
      <c r="A241" t="s">
        <v>453</v>
      </c>
      <c r="B241">
        <v>1954</v>
      </c>
      <c r="C241">
        <v>2</v>
      </c>
      <c r="D241">
        <v>6</v>
      </c>
      <c r="E241">
        <v>45</v>
      </c>
      <c r="F241">
        <v>5.7</v>
      </c>
      <c r="G241">
        <v>1.25</v>
      </c>
      <c r="H241" t="s">
        <v>39</v>
      </c>
      <c r="I241" s="4">
        <f>igre_si[[#This Row],[Play Time]]/(SQRT(igre_si[[#This Row],[Min Players]]*igre_si[[#This Row],[Max Players]]))</f>
        <v>12.99038105676658</v>
      </c>
    </row>
    <row r="242" spans="1:9" x14ac:dyDescent="0.3">
      <c r="A242" t="s">
        <v>335</v>
      </c>
      <c r="B242">
        <v>2017</v>
      </c>
      <c r="C242">
        <v>1</v>
      </c>
      <c r="D242">
        <v>4</v>
      </c>
      <c r="E242">
        <v>20</v>
      </c>
      <c r="F242">
        <v>7.03</v>
      </c>
      <c r="G242">
        <v>1.65</v>
      </c>
      <c r="H242" t="s">
        <v>9</v>
      </c>
      <c r="I242" s="4">
        <f>igre_si[[#This Row],[Play Time]]/(SQRT(igre_si[[#This Row],[Min Players]]*igre_si[[#This Row],[Max Players]]))</f>
        <v>10</v>
      </c>
    </row>
    <row r="243" spans="1:9" x14ac:dyDescent="0.3">
      <c r="A243" t="s">
        <v>209</v>
      </c>
      <c r="B243">
        <v>1992</v>
      </c>
      <c r="C243">
        <v>3</v>
      </c>
      <c r="D243">
        <v>5</v>
      </c>
      <c r="E243">
        <v>45</v>
      </c>
      <c r="F243">
        <v>7.4</v>
      </c>
      <c r="G243">
        <v>2.2999999999999998</v>
      </c>
      <c r="H243" t="s">
        <v>9</v>
      </c>
      <c r="I243" s="4">
        <f>igre_si[[#This Row],[Play Time]]/(SQRT(igre_si[[#This Row],[Min Players]]*igre_si[[#This Row],[Max Players]]))</f>
        <v>11.61895003862225</v>
      </c>
    </row>
    <row r="244" spans="1:9" x14ac:dyDescent="0.3">
      <c r="A244" t="s">
        <v>68</v>
      </c>
      <c r="B244">
        <v>2015</v>
      </c>
      <c r="C244">
        <v>2</v>
      </c>
      <c r="D244">
        <v>4</v>
      </c>
      <c r="E244">
        <v>150</v>
      </c>
      <c r="F244">
        <v>7.88</v>
      </c>
      <c r="G244">
        <v>3.9</v>
      </c>
      <c r="H244" t="s">
        <v>9</v>
      </c>
      <c r="I244" s="4">
        <f>igre_si[[#This Row],[Play Time]]/(SQRT(igre_si[[#This Row],[Min Players]]*igre_si[[#This Row],[Max Players]]))</f>
        <v>53.033008588991059</v>
      </c>
    </row>
    <row r="245" spans="1:9" x14ac:dyDescent="0.3">
      <c r="A245" t="s">
        <v>465</v>
      </c>
      <c r="B245">
        <v>1933</v>
      </c>
      <c r="C245">
        <v>2</v>
      </c>
      <c r="D245">
        <v>8</v>
      </c>
      <c r="E245">
        <v>180</v>
      </c>
      <c r="F245">
        <v>4.3899999999999997</v>
      </c>
      <c r="G245">
        <v>1.65</v>
      </c>
      <c r="H245" t="s">
        <v>39</v>
      </c>
      <c r="I245" s="4">
        <f>igre_si[[#This Row],[Play Time]]/(SQRT(igre_si[[#This Row],[Min Players]]*igre_si[[#This Row],[Max Players]]))</f>
        <v>45</v>
      </c>
    </row>
    <row r="246" spans="1:9" x14ac:dyDescent="0.3">
      <c r="A246" t="s">
        <v>429</v>
      </c>
      <c r="B246">
        <v>2008</v>
      </c>
      <c r="C246">
        <v>2</v>
      </c>
      <c r="D246">
        <v>5</v>
      </c>
      <c r="E246">
        <v>15</v>
      </c>
      <c r="F246">
        <v>6.29</v>
      </c>
      <c r="G246">
        <v>1.33</v>
      </c>
      <c r="H246" t="s">
        <v>39</v>
      </c>
      <c r="I246" s="4">
        <f>igre_si[[#This Row],[Play Time]]/(SQRT(igre_si[[#This Row],[Min Players]]*igre_si[[#This Row],[Max Players]]))</f>
        <v>4.7434164902525691</v>
      </c>
    </row>
    <row r="247" spans="1:9" x14ac:dyDescent="0.3">
      <c r="A247" t="s">
        <v>442</v>
      </c>
      <c r="B247">
        <v>2008</v>
      </c>
      <c r="C247">
        <v>2</v>
      </c>
      <c r="D247">
        <v>6</v>
      </c>
      <c r="E247">
        <v>40</v>
      </c>
      <c r="F247">
        <v>6.06</v>
      </c>
      <c r="G247">
        <v>1.35</v>
      </c>
      <c r="H247" t="s">
        <v>92</v>
      </c>
      <c r="I247" s="4">
        <f>igre_si[[#This Row],[Play Time]]/(SQRT(igre_si[[#This Row],[Min Players]]*igre_si[[#This Row],[Max Players]]))</f>
        <v>11.547005383792516</v>
      </c>
    </row>
    <row r="248" spans="1:9" x14ac:dyDescent="0.3">
      <c r="A248" t="s">
        <v>342</v>
      </c>
      <c r="B248">
        <v>2012</v>
      </c>
      <c r="C248">
        <v>2</v>
      </c>
      <c r="D248">
        <v>2</v>
      </c>
      <c r="E248">
        <v>30</v>
      </c>
      <c r="F248">
        <v>7</v>
      </c>
      <c r="G248">
        <v>1.74</v>
      </c>
      <c r="H248" t="s">
        <v>39</v>
      </c>
      <c r="I248" s="4">
        <f>igre_si[[#This Row],[Play Time]]/(SQRT(igre_si[[#This Row],[Min Players]]*igre_si[[#This Row],[Max Players]]))</f>
        <v>15</v>
      </c>
    </row>
    <row r="249" spans="1:9" x14ac:dyDescent="0.3">
      <c r="A249" t="s">
        <v>340</v>
      </c>
      <c r="B249">
        <v>2006</v>
      </c>
      <c r="C249">
        <v>2</v>
      </c>
      <c r="D249">
        <v>2</v>
      </c>
      <c r="E249">
        <v>30</v>
      </c>
      <c r="F249">
        <v>7.01</v>
      </c>
      <c r="G249">
        <v>2.1800000000000002</v>
      </c>
      <c r="H249" t="s">
        <v>9</v>
      </c>
      <c r="I249" s="4">
        <f>igre_si[[#This Row],[Play Time]]/(SQRT(igre_si[[#This Row],[Min Players]]*igre_si[[#This Row],[Max Players]]))</f>
        <v>15</v>
      </c>
    </row>
    <row r="250" spans="1:9" x14ac:dyDescent="0.3">
      <c r="A250" t="s">
        <v>365</v>
      </c>
      <c r="B250">
        <v>2010</v>
      </c>
      <c r="C250">
        <v>2</v>
      </c>
      <c r="D250">
        <v>2</v>
      </c>
      <c r="E250">
        <v>15</v>
      </c>
      <c r="F250">
        <v>6.9</v>
      </c>
      <c r="G250">
        <v>1.82</v>
      </c>
      <c r="H250" t="s">
        <v>9</v>
      </c>
      <c r="I250" s="4">
        <f>igre_si[[#This Row],[Play Time]]/(SQRT(igre_si[[#This Row],[Min Players]]*igre_si[[#This Row],[Max Players]]))</f>
        <v>7.5</v>
      </c>
    </row>
    <row r="251" spans="1:9" x14ac:dyDescent="0.3">
      <c r="A251" t="s">
        <v>448</v>
      </c>
      <c r="B251">
        <v>2001</v>
      </c>
      <c r="C251">
        <v>3</v>
      </c>
      <c r="D251">
        <v>6</v>
      </c>
      <c r="E251">
        <v>120</v>
      </c>
      <c r="F251">
        <v>5.9</v>
      </c>
      <c r="G251">
        <v>1.8</v>
      </c>
      <c r="H251" t="s">
        <v>12</v>
      </c>
      <c r="I251" s="4">
        <f>igre_si[[#This Row],[Play Time]]/(SQRT(igre_si[[#This Row],[Min Players]]*igre_si[[#This Row],[Max Players]]))</f>
        <v>28.284271247461902</v>
      </c>
    </row>
    <row r="252" spans="1:9" x14ac:dyDescent="0.3">
      <c r="A252" t="s">
        <v>435</v>
      </c>
      <c r="B252">
        <v>2007</v>
      </c>
      <c r="C252">
        <v>3</v>
      </c>
      <c r="D252">
        <v>6</v>
      </c>
      <c r="E252">
        <v>90</v>
      </c>
      <c r="F252">
        <v>6.2</v>
      </c>
      <c r="G252">
        <v>1.71</v>
      </c>
      <c r="H252" t="s">
        <v>12</v>
      </c>
      <c r="I252" s="4">
        <f>igre_si[[#This Row],[Play Time]]/(SQRT(igre_si[[#This Row],[Min Players]]*igre_si[[#This Row],[Max Players]]))</f>
        <v>21.213203435596427</v>
      </c>
    </row>
    <row r="253" spans="1:9" x14ac:dyDescent="0.3">
      <c r="A253" t="s">
        <v>241</v>
      </c>
      <c r="B253">
        <v>2015</v>
      </c>
      <c r="C253">
        <v>2</v>
      </c>
      <c r="D253">
        <v>7</v>
      </c>
      <c r="E253">
        <v>42</v>
      </c>
      <c r="F253">
        <v>7.3</v>
      </c>
      <c r="G253">
        <v>1.91</v>
      </c>
      <c r="H253" t="s">
        <v>39</v>
      </c>
      <c r="I253" s="4">
        <f>igre_si[[#This Row],[Play Time]]/(SQRT(igre_si[[#This Row],[Min Players]]*igre_si[[#This Row],[Max Players]]))</f>
        <v>11.224972160321824</v>
      </c>
    </row>
    <row r="254" spans="1:9" x14ac:dyDescent="0.3">
      <c r="A254" t="s">
        <v>240</v>
      </c>
      <c r="B254">
        <v>2016</v>
      </c>
      <c r="C254">
        <v>2</v>
      </c>
      <c r="D254">
        <v>4</v>
      </c>
      <c r="E254">
        <v>45</v>
      </c>
      <c r="F254">
        <v>7.3</v>
      </c>
      <c r="G254">
        <v>2.25</v>
      </c>
      <c r="H254" t="s">
        <v>9</v>
      </c>
      <c r="I254" s="4">
        <f>igre_si[[#This Row],[Play Time]]/(SQRT(igre_si[[#This Row],[Min Players]]*igre_si[[#This Row],[Max Players]]))</f>
        <v>15.909902576697318</v>
      </c>
    </row>
    <row r="255" spans="1:9" x14ac:dyDescent="0.3">
      <c r="A255" t="s">
        <v>129</v>
      </c>
      <c r="B255">
        <v>2013</v>
      </c>
      <c r="C255">
        <v>1</v>
      </c>
      <c r="D255">
        <v>5</v>
      </c>
      <c r="E255">
        <v>200</v>
      </c>
      <c r="F255">
        <v>7.64</v>
      </c>
      <c r="G255">
        <v>3.54</v>
      </c>
      <c r="H255" t="s">
        <v>9</v>
      </c>
      <c r="I255" s="4">
        <f>igre_si[[#This Row],[Play Time]]/(SQRT(igre_si[[#This Row],[Min Players]]*igre_si[[#This Row],[Max Players]]))</f>
        <v>89.442719099991578</v>
      </c>
    </row>
    <row r="256" spans="1:9" x14ac:dyDescent="0.3">
      <c r="A256" t="s">
        <v>85</v>
      </c>
      <c r="B256">
        <v>2017</v>
      </c>
      <c r="C256">
        <v>2</v>
      </c>
      <c r="D256">
        <v>4</v>
      </c>
      <c r="E256">
        <v>120</v>
      </c>
      <c r="F256">
        <v>7.81</v>
      </c>
      <c r="G256">
        <v>2.82</v>
      </c>
      <c r="H256" t="s">
        <v>12</v>
      </c>
      <c r="I256" s="4">
        <f>igre_si[[#This Row],[Play Time]]/(SQRT(igre_si[[#This Row],[Min Players]]*igre_si[[#This Row],[Max Players]]))</f>
        <v>42.426406871192846</v>
      </c>
    </row>
    <row r="257" spans="1:9" x14ac:dyDescent="0.3">
      <c r="A257" t="s">
        <v>18</v>
      </c>
      <c r="B257">
        <v>2018</v>
      </c>
      <c r="C257">
        <v>1</v>
      </c>
      <c r="D257">
        <v>5</v>
      </c>
      <c r="E257">
        <v>180</v>
      </c>
      <c r="F257">
        <v>8.4</v>
      </c>
      <c r="G257">
        <v>3.35</v>
      </c>
      <c r="H257" t="s">
        <v>12</v>
      </c>
      <c r="I257" s="4">
        <f>igre_si[[#This Row],[Play Time]]/(SQRT(igre_si[[#This Row],[Min Players]]*igre_si[[#This Row],[Max Players]]))</f>
        <v>80.498447189992419</v>
      </c>
    </row>
    <row r="258" spans="1:9" x14ac:dyDescent="0.3">
      <c r="A258" t="s">
        <v>207</v>
      </c>
      <c r="B258">
        <v>2006</v>
      </c>
      <c r="C258">
        <v>1</v>
      </c>
      <c r="D258">
        <v>4</v>
      </c>
      <c r="E258">
        <v>30</v>
      </c>
      <c r="F258">
        <v>7.4</v>
      </c>
      <c r="G258">
        <v>2.61</v>
      </c>
      <c r="H258" t="s">
        <v>9</v>
      </c>
      <c r="I258" s="4">
        <f>igre_si[[#This Row],[Play Time]]/(SQRT(igre_si[[#This Row],[Min Players]]*igre_si[[#This Row],[Max Players]]))</f>
        <v>15</v>
      </c>
    </row>
    <row r="259" spans="1:9" x14ac:dyDescent="0.3">
      <c r="A259" t="s">
        <v>267</v>
      </c>
      <c r="B259">
        <v>2005</v>
      </c>
      <c r="C259">
        <v>2</v>
      </c>
      <c r="D259">
        <v>4</v>
      </c>
      <c r="E259">
        <v>90</v>
      </c>
      <c r="F259">
        <v>7.22</v>
      </c>
      <c r="G259">
        <v>2.23</v>
      </c>
      <c r="H259" t="s">
        <v>12</v>
      </c>
      <c r="I259" s="4">
        <f>igre_si[[#This Row],[Play Time]]/(SQRT(igre_si[[#This Row],[Min Players]]*igre_si[[#This Row],[Max Players]]))</f>
        <v>31.819805153394636</v>
      </c>
    </row>
    <row r="260" spans="1:9" x14ac:dyDescent="0.3">
      <c r="A260" t="s">
        <v>326</v>
      </c>
      <c r="B260">
        <v>2004</v>
      </c>
      <c r="C260">
        <v>3</v>
      </c>
      <c r="D260">
        <v>7</v>
      </c>
      <c r="E260">
        <v>20</v>
      </c>
      <c r="F260">
        <v>7.05</v>
      </c>
      <c r="G260">
        <v>1.1399999999999999</v>
      </c>
      <c r="H260" t="s">
        <v>39</v>
      </c>
      <c r="I260" s="4">
        <f>igre_si[[#This Row],[Play Time]]/(SQRT(igre_si[[#This Row],[Min Players]]*igre_si[[#This Row],[Max Players]]))</f>
        <v>4.3643578047198481</v>
      </c>
    </row>
    <row r="261" spans="1:9" x14ac:dyDescent="0.3">
      <c r="A261" t="s">
        <v>338</v>
      </c>
      <c r="B261">
        <v>2016</v>
      </c>
      <c r="C261">
        <v>2</v>
      </c>
      <c r="D261">
        <v>7</v>
      </c>
      <c r="E261">
        <v>45</v>
      </c>
      <c r="F261">
        <v>7.02</v>
      </c>
      <c r="G261">
        <v>1.96</v>
      </c>
      <c r="H261" t="s">
        <v>9</v>
      </c>
      <c r="I261" s="4">
        <f>igre_si[[#This Row],[Play Time]]/(SQRT(igre_si[[#This Row],[Min Players]]*igre_si[[#This Row],[Max Players]]))</f>
        <v>12.026755886059098</v>
      </c>
    </row>
    <row r="262" spans="1:9" x14ac:dyDescent="0.3">
      <c r="A262" t="s">
        <v>224</v>
      </c>
      <c r="B262">
        <v>2007</v>
      </c>
      <c r="C262">
        <v>2</v>
      </c>
      <c r="D262">
        <v>5</v>
      </c>
      <c r="E262">
        <v>75</v>
      </c>
      <c r="F262">
        <v>7.34</v>
      </c>
      <c r="G262">
        <v>2.75</v>
      </c>
      <c r="H262" t="s">
        <v>9</v>
      </c>
      <c r="I262" s="4">
        <f>igre_si[[#This Row],[Play Time]]/(SQRT(igre_si[[#This Row],[Min Players]]*igre_si[[#This Row],[Max Players]]))</f>
        <v>23.717082451262844</v>
      </c>
    </row>
    <row r="263" spans="1:9" x14ac:dyDescent="0.3">
      <c r="A263" t="s">
        <v>339</v>
      </c>
      <c r="B263">
        <v>2015</v>
      </c>
      <c r="C263">
        <v>2</v>
      </c>
      <c r="D263">
        <v>4</v>
      </c>
      <c r="E263">
        <v>30</v>
      </c>
      <c r="F263">
        <v>7.01</v>
      </c>
      <c r="G263">
        <v>2.2999999999999998</v>
      </c>
      <c r="H263" t="s">
        <v>9</v>
      </c>
      <c r="I263" s="4">
        <f>igre_si[[#This Row],[Play Time]]/(SQRT(igre_si[[#This Row],[Min Players]]*igre_si[[#This Row],[Max Players]]))</f>
        <v>10.606601717798211</v>
      </c>
    </row>
    <row r="264" spans="1:9" x14ac:dyDescent="0.3">
      <c r="A264" t="s">
        <v>21</v>
      </c>
      <c r="B264">
        <v>2020</v>
      </c>
      <c r="C264">
        <v>1</v>
      </c>
      <c r="D264">
        <v>4</v>
      </c>
      <c r="E264">
        <v>150</v>
      </c>
      <c r="F264">
        <v>8.3000000000000007</v>
      </c>
      <c r="G264">
        <v>4.63</v>
      </c>
      <c r="H264" t="s">
        <v>9</v>
      </c>
      <c r="I264" s="4">
        <f>igre_si[[#This Row],[Play Time]]/(SQRT(igre_si[[#This Row],[Min Players]]*igre_si[[#This Row],[Max Players]]))</f>
        <v>75</v>
      </c>
    </row>
    <row r="265" spans="1:9" x14ac:dyDescent="0.3">
      <c r="A265" t="s">
        <v>314</v>
      </c>
      <c r="B265">
        <v>2016</v>
      </c>
      <c r="C265">
        <v>1</v>
      </c>
      <c r="D265">
        <v>2</v>
      </c>
      <c r="E265">
        <v>45</v>
      </c>
      <c r="F265">
        <v>7.07</v>
      </c>
      <c r="G265">
        <v>2.0499999999999998</v>
      </c>
      <c r="H265" t="s">
        <v>12</v>
      </c>
      <c r="I265" s="4">
        <f>igre_si[[#This Row],[Play Time]]/(SQRT(igre_si[[#This Row],[Min Players]]*igre_si[[#This Row],[Max Players]]))</f>
        <v>31.819805153394636</v>
      </c>
    </row>
    <row r="266" spans="1:9" x14ac:dyDescent="0.3">
      <c r="A266" t="s">
        <v>290</v>
      </c>
      <c r="B266">
        <v>2014</v>
      </c>
      <c r="C266">
        <v>3</v>
      </c>
      <c r="D266">
        <v>10</v>
      </c>
      <c r="E266">
        <v>10</v>
      </c>
      <c r="F266">
        <v>7.14</v>
      </c>
      <c r="G266">
        <v>1.39</v>
      </c>
      <c r="H266" t="s">
        <v>92</v>
      </c>
      <c r="I266" s="4">
        <f>igre_si[[#This Row],[Play Time]]/(SQRT(igre_si[[#This Row],[Min Players]]*igre_si[[#This Row],[Max Players]]))</f>
        <v>1.8257418583505538</v>
      </c>
    </row>
    <row r="267" spans="1:9" x14ac:dyDescent="0.3">
      <c r="A267" t="s">
        <v>310</v>
      </c>
      <c r="B267">
        <v>2014</v>
      </c>
      <c r="C267">
        <v>1</v>
      </c>
      <c r="D267">
        <v>2</v>
      </c>
      <c r="E267">
        <v>15</v>
      </c>
      <c r="F267">
        <v>7.09</v>
      </c>
      <c r="G267">
        <v>1.57</v>
      </c>
      <c r="H267" t="s">
        <v>39</v>
      </c>
      <c r="I267" s="4">
        <f>igre_si[[#This Row],[Play Time]]/(SQRT(igre_si[[#This Row],[Min Players]]*igre_si[[#This Row],[Max Players]]))</f>
        <v>10.606601717798211</v>
      </c>
    </row>
    <row r="268" spans="1:9" x14ac:dyDescent="0.3">
      <c r="A268" t="s">
        <v>210</v>
      </c>
      <c r="B268">
        <v>2014</v>
      </c>
      <c r="C268">
        <v>2</v>
      </c>
      <c r="D268">
        <v>2</v>
      </c>
      <c r="E268">
        <v>20</v>
      </c>
      <c r="F268">
        <v>7.4</v>
      </c>
      <c r="G268">
        <v>1.71</v>
      </c>
      <c r="H268" t="s">
        <v>81</v>
      </c>
      <c r="I268" s="4">
        <f>igre_si[[#This Row],[Play Time]]/(SQRT(igre_si[[#This Row],[Min Players]]*igre_si[[#This Row],[Max Players]]))</f>
        <v>10</v>
      </c>
    </row>
    <row r="269" spans="1:9" x14ac:dyDescent="0.3">
      <c r="A269" t="s">
        <v>113</v>
      </c>
      <c r="B269">
        <v>2011</v>
      </c>
      <c r="C269">
        <v>1</v>
      </c>
      <c r="D269">
        <v>4</v>
      </c>
      <c r="E269">
        <v>180</v>
      </c>
      <c r="F269">
        <v>7.71</v>
      </c>
      <c r="G269">
        <v>3.9</v>
      </c>
      <c r="H269" t="s">
        <v>9</v>
      </c>
      <c r="I269" s="4">
        <f>igre_si[[#This Row],[Play Time]]/(SQRT(igre_si[[#This Row],[Min Players]]*igre_si[[#This Row],[Max Players]]))</f>
        <v>90</v>
      </c>
    </row>
    <row r="270" spans="1:9" x14ac:dyDescent="0.3">
      <c r="A270" t="s">
        <v>44</v>
      </c>
      <c r="B270">
        <v>2014</v>
      </c>
      <c r="C270">
        <v>2</v>
      </c>
      <c r="D270">
        <v>4</v>
      </c>
      <c r="E270">
        <v>90</v>
      </c>
      <c r="F270">
        <v>8.09</v>
      </c>
      <c r="G270">
        <v>3.05</v>
      </c>
      <c r="H270" t="s">
        <v>9</v>
      </c>
      <c r="I270" s="4">
        <f>igre_si[[#This Row],[Play Time]]/(SQRT(igre_si[[#This Row],[Min Players]]*igre_si[[#This Row],[Max Players]]))</f>
        <v>31.819805153394636</v>
      </c>
    </row>
    <row r="271" spans="1:9" x14ac:dyDescent="0.3">
      <c r="A271" t="s">
        <v>440</v>
      </c>
      <c r="B271">
        <v>1883</v>
      </c>
      <c r="C271">
        <v>2</v>
      </c>
      <c r="D271">
        <v>2</v>
      </c>
      <c r="E271">
        <v>30</v>
      </c>
      <c r="F271">
        <v>6.1</v>
      </c>
      <c r="G271">
        <v>2.1</v>
      </c>
      <c r="H271" t="s">
        <v>81</v>
      </c>
      <c r="I271" s="4">
        <f>igre_si[[#This Row],[Play Time]]/(SQRT(igre_si[[#This Row],[Min Players]]*igre_si[[#This Row],[Max Players]]))</f>
        <v>15</v>
      </c>
    </row>
    <row r="272" spans="1:9" x14ac:dyDescent="0.3">
      <c r="A272" t="s">
        <v>47</v>
      </c>
      <c r="B272">
        <v>2019</v>
      </c>
      <c r="C272">
        <v>1</v>
      </c>
      <c r="D272">
        <v>4</v>
      </c>
      <c r="E272">
        <v>120</v>
      </c>
      <c r="F272">
        <v>8.07</v>
      </c>
      <c r="G272">
        <v>3.67</v>
      </c>
      <c r="H272" t="s">
        <v>9</v>
      </c>
      <c r="I272" s="4">
        <f>igre_si[[#This Row],[Play Time]]/(SQRT(igre_si[[#This Row],[Min Players]]*igre_si[[#This Row],[Max Players]]))</f>
        <v>60</v>
      </c>
    </row>
    <row r="273" spans="1:9" x14ac:dyDescent="0.3">
      <c r="A273" t="s">
        <v>139</v>
      </c>
      <c r="B273">
        <v>2008</v>
      </c>
      <c r="C273">
        <v>2</v>
      </c>
      <c r="D273">
        <v>4</v>
      </c>
      <c r="E273">
        <v>45</v>
      </c>
      <c r="F273">
        <v>7.61</v>
      </c>
      <c r="G273">
        <v>2.41</v>
      </c>
      <c r="H273" t="s">
        <v>39</v>
      </c>
      <c r="I273" s="4">
        <f>igre_si[[#This Row],[Play Time]]/(SQRT(igre_si[[#This Row],[Min Players]]*igre_si[[#This Row],[Max Players]]))</f>
        <v>15.909902576697318</v>
      </c>
    </row>
    <row r="274" spans="1:9" x14ac:dyDescent="0.3">
      <c r="A274" t="s">
        <v>14</v>
      </c>
      <c r="B274">
        <v>2015</v>
      </c>
      <c r="C274">
        <v>2</v>
      </c>
      <c r="D274">
        <v>4</v>
      </c>
      <c r="E274">
        <v>60</v>
      </c>
      <c r="F274">
        <v>8.61</v>
      </c>
      <c r="G274">
        <v>2.84</v>
      </c>
      <c r="H274" t="s">
        <v>9</v>
      </c>
      <c r="I274" s="4">
        <f>igre_si[[#This Row],[Play Time]]/(SQRT(igre_si[[#This Row],[Min Players]]*igre_si[[#This Row],[Max Players]]))</f>
        <v>21.213203435596423</v>
      </c>
    </row>
    <row r="275" spans="1:9" x14ac:dyDescent="0.3">
      <c r="A275" t="s">
        <v>30</v>
      </c>
      <c r="B275">
        <v>2017</v>
      </c>
      <c r="C275">
        <v>2</v>
      </c>
      <c r="D275">
        <v>4</v>
      </c>
      <c r="E275">
        <v>60</v>
      </c>
      <c r="F275">
        <v>8.15</v>
      </c>
      <c r="G275">
        <v>3.25</v>
      </c>
      <c r="H275" t="s">
        <v>9</v>
      </c>
      <c r="I275" s="4">
        <f>igre_si[[#This Row],[Play Time]]/(SQRT(igre_si[[#This Row],[Min Players]]*igre_si[[#This Row],[Max Players]]))</f>
        <v>21.213203435596423</v>
      </c>
    </row>
    <row r="276" spans="1:9" x14ac:dyDescent="0.3">
      <c r="A276" t="s">
        <v>61</v>
      </c>
      <c r="B276">
        <v>2016</v>
      </c>
      <c r="C276">
        <v>2</v>
      </c>
      <c r="D276">
        <v>5</v>
      </c>
      <c r="E276">
        <v>45</v>
      </c>
      <c r="F276">
        <v>7.92</v>
      </c>
      <c r="G276">
        <v>2.58</v>
      </c>
      <c r="H276" t="s">
        <v>9</v>
      </c>
      <c r="I276" s="4">
        <f>igre_si[[#This Row],[Play Time]]/(SQRT(igre_si[[#This Row],[Min Players]]*igre_si[[#This Row],[Max Players]]))</f>
        <v>14.230249470757705</v>
      </c>
    </row>
    <row r="277" spans="1:9" x14ac:dyDescent="0.3">
      <c r="A277" t="s">
        <v>205</v>
      </c>
      <c r="B277">
        <v>2016</v>
      </c>
      <c r="C277">
        <v>2</v>
      </c>
      <c r="D277">
        <v>4</v>
      </c>
      <c r="E277">
        <v>40</v>
      </c>
      <c r="F277">
        <v>7.4</v>
      </c>
      <c r="G277">
        <v>2.1800000000000002</v>
      </c>
      <c r="H277" t="s">
        <v>9</v>
      </c>
      <c r="I277" s="4">
        <f>igre_si[[#This Row],[Play Time]]/(SQRT(igre_si[[#This Row],[Min Players]]*igre_si[[#This Row],[Max Players]]))</f>
        <v>14.142135623730949</v>
      </c>
    </row>
    <row r="278" spans="1:9" x14ac:dyDescent="0.3">
      <c r="A278" t="s">
        <v>237</v>
      </c>
      <c r="B278">
        <v>2014</v>
      </c>
      <c r="C278">
        <v>2</v>
      </c>
      <c r="D278">
        <v>5</v>
      </c>
      <c r="E278">
        <v>30</v>
      </c>
      <c r="F278">
        <v>7.3</v>
      </c>
      <c r="G278">
        <v>2.06</v>
      </c>
      <c r="H278" t="s">
        <v>39</v>
      </c>
      <c r="I278" s="4">
        <f>igre_si[[#This Row],[Play Time]]/(SQRT(igre_si[[#This Row],[Min Players]]*igre_si[[#This Row],[Max Players]]))</f>
        <v>9.4868329805051381</v>
      </c>
    </row>
    <row r="279" spans="1:9" x14ac:dyDescent="0.3">
      <c r="A279" t="s">
        <v>284</v>
      </c>
      <c r="B279">
        <v>2014</v>
      </c>
      <c r="C279">
        <v>2</v>
      </c>
      <c r="D279">
        <v>5</v>
      </c>
      <c r="E279">
        <v>45</v>
      </c>
      <c r="F279">
        <v>7.18</v>
      </c>
      <c r="G279">
        <v>1.99</v>
      </c>
      <c r="H279" t="s">
        <v>39</v>
      </c>
      <c r="I279" s="4">
        <f>igre_si[[#This Row],[Play Time]]/(SQRT(igre_si[[#This Row],[Min Players]]*igre_si[[#This Row],[Max Players]]))</f>
        <v>14.230249470757705</v>
      </c>
    </row>
    <row r="280" spans="1:9" x14ac:dyDescent="0.3">
      <c r="A280" t="s">
        <v>66</v>
      </c>
      <c r="B280">
        <v>2019</v>
      </c>
      <c r="C280">
        <v>1</v>
      </c>
      <c r="D280">
        <v>5</v>
      </c>
      <c r="E280">
        <v>60</v>
      </c>
      <c r="F280">
        <v>7.89</v>
      </c>
      <c r="G280">
        <v>2.17</v>
      </c>
      <c r="H280" t="s">
        <v>39</v>
      </c>
      <c r="I280" s="4">
        <f>igre_si[[#This Row],[Play Time]]/(SQRT(igre_si[[#This Row],[Min Players]]*igre_si[[#This Row],[Max Players]]))</f>
        <v>26.832815729997474</v>
      </c>
    </row>
    <row r="281" spans="1:9" x14ac:dyDescent="0.3">
      <c r="A281" t="s">
        <v>124</v>
      </c>
      <c r="B281">
        <v>2014</v>
      </c>
      <c r="C281">
        <v>2</v>
      </c>
      <c r="D281">
        <v>2</v>
      </c>
      <c r="E281">
        <v>30</v>
      </c>
      <c r="F281">
        <v>7.66</v>
      </c>
      <c r="G281">
        <v>1.64</v>
      </c>
      <c r="H281" t="s">
        <v>81</v>
      </c>
      <c r="I281" s="4">
        <f>igre_si[[#This Row],[Play Time]]/(SQRT(igre_si[[#This Row],[Min Players]]*igre_si[[#This Row],[Max Players]]))</f>
        <v>15</v>
      </c>
    </row>
    <row r="282" spans="1:9" x14ac:dyDescent="0.3">
      <c r="A282" t="s">
        <v>366</v>
      </c>
      <c r="B282">
        <v>1800</v>
      </c>
      <c r="C282">
        <v>2</v>
      </c>
      <c r="D282">
        <v>6</v>
      </c>
      <c r="E282">
        <v>30</v>
      </c>
      <c r="F282">
        <v>6.9</v>
      </c>
      <c r="G282">
        <v>1.26</v>
      </c>
      <c r="H282" t="s">
        <v>39</v>
      </c>
      <c r="I282" s="4">
        <f>igre_si[[#This Row],[Play Time]]/(SQRT(igre_si[[#This Row],[Min Players]]*igre_si[[#This Row],[Max Players]]))</f>
        <v>8.6602540378443873</v>
      </c>
    </row>
    <row r="283" spans="1:9" x14ac:dyDescent="0.3">
      <c r="A283" t="s">
        <v>463</v>
      </c>
      <c r="B283">
        <v>1982</v>
      </c>
      <c r="C283">
        <v>2</v>
      </c>
      <c r="D283">
        <v>6</v>
      </c>
      <c r="E283">
        <v>45</v>
      </c>
      <c r="F283">
        <v>5.13</v>
      </c>
      <c r="G283">
        <v>1.29</v>
      </c>
      <c r="H283" t="s">
        <v>39</v>
      </c>
      <c r="I283" s="4">
        <f>igre_si[[#This Row],[Play Time]]/(SQRT(igre_si[[#This Row],[Min Players]]*igre_si[[#This Row],[Max Players]]))</f>
        <v>12.99038105676658</v>
      </c>
    </row>
    <row r="284" spans="1:9" x14ac:dyDescent="0.3">
      <c r="A284" t="s">
        <v>297</v>
      </c>
      <c r="B284">
        <v>2017</v>
      </c>
      <c r="C284">
        <v>2</v>
      </c>
      <c r="D284">
        <v>4</v>
      </c>
      <c r="E284">
        <v>60</v>
      </c>
      <c r="F284">
        <v>7.13</v>
      </c>
      <c r="G284">
        <v>2.2799999999999998</v>
      </c>
      <c r="H284" t="s">
        <v>81</v>
      </c>
      <c r="I284" s="4">
        <f>igre_si[[#This Row],[Play Time]]/(SQRT(igre_si[[#This Row],[Min Players]]*igre_si[[#This Row],[Max Players]]))</f>
        <v>21.213203435596423</v>
      </c>
    </row>
    <row r="285" spans="1:9" x14ac:dyDescent="0.3">
      <c r="A285" t="s">
        <v>409</v>
      </c>
      <c r="B285">
        <v>2005</v>
      </c>
      <c r="C285">
        <v>2</v>
      </c>
      <c r="D285">
        <v>7</v>
      </c>
      <c r="E285">
        <v>20</v>
      </c>
      <c r="F285">
        <v>6.56</v>
      </c>
      <c r="G285">
        <v>1.1499999999999999</v>
      </c>
      <c r="H285" t="s">
        <v>39</v>
      </c>
      <c r="I285" s="4">
        <f>igre_si[[#This Row],[Play Time]]/(SQRT(igre_si[[#This Row],[Min Players]]*igre_si[[#This Row],[Max Players]]))</f>
        <v>5.3452248382484875</v>
      </c>
    </row>
    <row r="286" spans="1:9" x14ac:dyDescent="0.3">
      <c r="A286" t="s">
        <v>449</v>
      </c>
      <c r="B286">
        <v>1985</v>
      </c>
      <c r="C286">
        <v>3</v>
      </c>
      <c r="D286">
        <v>16</v>
      </c>
      <c r="E286">
        <v>90</v>
      </c>
      <c r="F286">
        <v>5.83</v>
      </c>
      <c r="G286">
        <v>1.24</v>
      </c>
      <c r="H286" t="s">
        <v>92</v>
      </c>
      <c r="I286" s="4">
        <f>igre_si[[#This Row],[Play Time]]/(SQRT(igre_si[[#This Row],[Min Players]]*igre_si[[#This Row],[Max Players]]))</f>
        <v>12.99038105676658</v>
      </c>
    </row>
    <row r="287" spans="1:9" x14ac:dyDescent="0.3">
      <c r="A287" t="s">
        <v>405</v>
      </c>
      <c r="B287">
        <v>2002</v>
      </c>
      <c r="C287">
        <v>3</v>
      </c>
      <c r="D287">
        <v>5</v>
      </c>
      <c r="E287">
        <v>90</v>
      </c>
      <c r="F287">
        <v>6.57</v>
      </c>
      <c r="G287">
        <v>2.0099999999999998</v>
      </c>
      <c r="H287" t="s">
        <v>39</v>
      </c>
      <c r="I287" s="4">
        <f>igre_si[[#This Row],[Play Time]]/(SQRT(igre_si[[#This Row],[Min Players]]*igre_si[[#This Row],[Max Players]]))</f>
        <v>23.2379000772445</v>
      </c>
    </row>
    <row r="288" spans="1:9" x14ac:dyDescent="0.3">
      <c r="A288" t="s">
        <v>421</v>
      </c>
      <c r="B288">
        <v>1903</v>
      </c>
      <c r="C288">
        <v>3</v>
      </c>
      <c r="D288">
        <v>8</v>
      </c>
      <c r="E288">
        <v>90</v>
      </c>
      <c r="F288">
        <v>6.39</v>
      </c>
      <c r="G288">
        <v>1.1599999999999999</v>
      </c>
      <c r="H288" t="s">
        <v>39</v>
      </c>
      <c r="I288" s="4">
        <f>igre_si[[#This Row],[Play Time]]/(SQRT(igre_si[[#This Row],[Min Players]]*igre_si[[#This Row],[Max Players]]))</f>
        <v>18.371173070873837</v>
      </c>
    </row>
    <row r="289" spans="1:9" x14ac:dyDescent="0.3">
      <c r="A289" t="s">
        <v>260</v>
      </c>
      <c r="B289">
        <v>1995</v>
      </c>
      <c r="C289">
        <v>2</v>
      </c>
      <c r="D289">
        <v>8</v>
      </c>
      <c r="E289">
        <v>30</v>
      </c>
      <c r="F289">
        <v>7.25</v>
      </c>
      <c r="G289">
        <v>1.1299999999999999</v>
      </c>
      <c r="H289" t="s">
        <v>39</v>
      </c>
      <c r="I289" s="4">
        <f>igre_si[[#This Row],[Play Time]]/(SQRT(igre_si[[#This Row],[Min Players]]*igre_si[[#This Row],[Max Players]]))</f>
        <v>7.5</v>
      </c>
    </row>
    <row r="290" spans="1:9" x14ac:dyDescent="0.3">
      <c r="A290" t="s">
        <v>227</v>
      </c>
      <c r="B290">
        <v>2019</v>
      </c>
      <c r="C290">
        <v>2</v>
      </c>
      <c r="D290">
        <v>6</v>
      </c>
      <c r="E290">
        <v>30</v>
      </c>
      <c r="F290">
        <v>7.33</v>
      </c>
      <c r="G290">
        <v>1.1499999999999999</v>
      </c>
      <c r="H290" t="s">
        <v>39</v>
      </c>
      <c r="I290" s="4">
        <f>igre_si[[#This Row],[Play Time]]/(SQRT(igre_si[[#This Row],[Min Players]]*igre_si[[#This Row],[Max Players]]))</f>
        <v>8.6602540378443873</v>
      </c>
    </row>
    <row r="291" spans="1:9" x14ac:dyDescent="0.3">
      <c r="A291" t="s">
        <v>293</v>
      </c>
      <c r="B291">
        <v>2014</v>
      </c>
      <c r="C291">
        <v>2</v>
      </c>
      <c r="D291">
        <v>5</v>
      </c>
      <c r="E291">
        <v>50</v>
      </c>
      <c r="F291">
        <v>7.14</v>
      </c>
      <c r="G291">
        <v>1.63</v>
      </c>
      <c r="H291" t="s">
        <v>39</v>
      </c>
      <c r="I291" s="4">
        <f>igre_si[[#This Row],[Play Time]]/(SQRT(igre_si[[#This Row],[Min Players]]*igre_si[[#This Row],[Max Players]]))</f>
        <v>15.811388300841896</v>
      </c>
    </row>
    <row r="292" spans="1:9" x14ac:dyDescent="0.3">
      <c r="A292" t="s">
        <v>288</v>
      </c>
      <c r="B292">
        <v>2015</v>
      </c>
      <c r="C292">
        <v>2</v>
      </c>
      <c r="D292">
        <v>4</v>
      </c>
      <c r="E292">
        <v>45</v>
      </c>
      <c r="F292">
        <v>7.15</v>
      </c>
      <c r="G292">
        <v>1.75</v>
      </c>
      <c r="H292" t="s">
        <v>39</v>
      </c>
      <c r="I292" s="4">
        <f>igre_si[[#This Row],[Play Time]]/(SQRT(igre_si[[#This Row],[Min Players]]*igre_si[[#This Row],[Max Players]]))</f>
        <v>15.909902576697318</v>
      </c>
    </row>
    <row r="293" spans="1:9" x14ac:dyDescent="0.3">
      <c r="A293" t="s">
        <v>74</v>
      </c>
      <c r="B293">
        <v>2004</v>
      </c>
      <c r="C293">
        <v>2</v>
      </c>
      <c r="D293">
        <v>6</v>
      </c>
      <c r="E293">
        <v>120</v>
      </c>
      <c r="F293">
        <v>7.86</v>
      </c>
      <c r="G293">
        <v>3.27</v>
      </c>
      <c r="H293" t="s">
        <v>9</v>
      </c>
      <c r="I293" s="4">
        <f>igre_si[[#This Row],[Play Time]]/(SQRT(igre_si[[#This Row],[Min Players]]*igre_si[[#This Row],[Max Players]]))</f>
        <v>34.641016151377549</v>
      </c>
    </row>
    <row r="294" spans="1:9" x14ac:dyDescent="0.3">
      <c r="A294" t="s">
        <v>57</v>
      </c>
      <c r="B294">
        <v>2002</v>
      </c>
      <c r="C294">
        <v>3</v>
      </c>
      <c r="D294">
        <v>5</v>
      </c>
      <c r="E294">
        <v>150</v>
      </c>
      <c r="F294">
        <v>7.99</v>
      </c>
      <c r="G294">
        <v>3.28</v>
      </c>
      <c r="H294" t="s">
        <v>9</v>
      </c>
      <c r="I294" s="4">
        <f>igre_si[[#This Row],[Play Time]]/(SQRT(igre_si[[#This Row],[Min Players]]*igre_si[[#This Row],[Max Players]]))</f>
        <v>38.729833462074168</v>
      </c>
    </row>
    <row r="295" spans="1:9" x14ac:dyDescent="0.3">
      <c r="A295" t="s">
        <v>244</v>
      </c>
      <c r="B295">
        <v>2016</v>
      </c>
      <c r="C295">
        <v>2</v>
      </c>
      <c r="D295">
        <v>4</v>
      </c>
      <c r="E295">
        <v>60</v>
      </c>
      <c r="F295">
        <v>7.29</v>
      </c>
      <c r="G295">
        <v>2.21</v>
      </c>
      <c r="H295" t="s">
        <v>39</v>
      </c>
      <c r="I295" s="4">
        <f>igre_si[[#This Row],[Play Time]]/(SQRT(igre_si[[#This Row],[Min Players]]*igre_si[[#This Row],[Max Players]]))</f>
        <v>21.213203435596423</v>
      </c>
    </row>
    <row r="296" spans="1:9" x14ac:dyDescent="0.3">
      <c r="A296" t="s">
        <v>383</v>
      </c>
      <c r="B296">
        <v>2011</v>
      </c>
      <c r="C296">
        <v>2</v>
      </c>
      <c r="D296">
        <v>4</v>
      </c>
      <c r="E296">
        <v>30</v>
      </c>
      <c r="F296">
        <v>6.76</v>
      </c>
      <c r="G296">
        <v>1.97</v>
      </c>
      <c r="H296" t="s">
        <v>9</v>
      </c>
      <c r="I296" s="4">
        <f>igre_si[[#This Row],[Play Time]]/(SQRT(igre_si[[#This Row],[Min Players]]*igre_si[[#This Row],[Max Players]]))</f>
        <v>10.606601717798211</v>
      </c>
    </row>
    <row r="297" spans="1:9" x14ac:dyDescent="0.3">
      <c r="A297" t="s">
        <v>254</v>
      </c>
      <c r="B297">
        <v>2017</v>
      </c>
      <c r="C297">
        <v>2</v>
      </c>
      <c r="D297">
        <v>4</v>
      </c>
      <c r="E297">
        <v>25</v>
      </c>
      <c r="F297">
        <v>7.26</v>
      </c>
      <c r="G297">
        <v>2.09</v>
      </c>
      <c r="H297" t="s">
        <v>39</v>
      </c>
      <c r="I297" s="4">
        <f>igre_si[[#This Row],[Play Time]]/(SQRT(igre_si[[#This Row],[Min Players]]*igre_si[[#This Row],[Max Players]]))</f>
        <v>8.8388347648318426</v>
      </c>
    </row>
    <row r="298" spans="1:9" x14ac:dyDescent="0.3">
      <c r="A298" t="s">
        <v>382</v>
      </c>
      <c r="B298">
        <v>2006</v>
      </c>
      <c r="C298">
        <v>2</v>
      </c>
      <c r="D298">
        <v>4</v>
      </c>
      <c r="E298">
        <v>45</v>
      </c>
      <c r="F298">
        <v>6.78</v>
      </c>
      <c r="G298">
        <v>1.63</v>
      </c>
      <c r="H298" t="s">
        <v>81</v>
      </c>
      <c r="I298" s="4">
        <f>igre_si[[#This Row],[Play Time]]/(SQRT(igre_si[[#This Row],[Min Players]]*igre_si[[#This Row],[Max Players]]))</f>
        <v>15.909902576697318</v>
      </c>
    </row>
    <row r="299" spans="1:9" x14ac:dyDescent="0.3">
      <c r="A299" t="s">
        <v>371</v>
      </c>
      <c r="B299">
        <v>2012</v>
      </c>
      <c r="C299">
        <v>2</v>
      </c>
      <c r="D299">
        <v>5</v>
      </c>
      <c r="E299">
        <v>15</v>
      </c>
      <c r="F299">
        <v>6.88</v>
      </c>
      <c r="G299">
        <v>1.1200000000000001</v>
      </c>
      <c r="H299" t="s">
        <v>39</v>
      </c>
      <c r="I299" s="4">
        <f>igre_si[[#This Row],[Play Time]]/(SQRT(igre_si[[#This Row],[Min Players]]*igre_si[[#This Row],[Max Players]]))</f>
        <v>4.7434164902525691</v>
      </c>
    </row>
    <row r="300" spans="1:9" x14ac:dyDescent="0.3">
      <c r="A300" t="s">
        <v>182</v>
      </c>
      <c r="B300">
        <v>1999</v>
      </c>
      <c r="C300">
        <v>2</v>
      </c>
      <c r="D300">
        <v>5</v>
      </c>
      <c r="E300">
        <v>60</v>
      </c>
      <c r="F300">
        <v>7.47</v>
      </c>
      <c r="G300">
        <v>2.35</v>
      </c>
      <c r="H300" t="s">
        <v>9</v>
      </c>
      <c r="I300" s="4">
        <f>igre_si[[#This Row],[Play Time]]/(SQRT(igre_si[[#This Row],[Min Players]]*igre_si[[#This Row],[Max Players]]))</f>
        <v>18.973665961010276</v>
      </c>
    </row>
    <row r="301" spans="1:9" x14ac:dyDescent="0.3">
      <c r="A301" t="s">
        <v>100</v>
      </c>
      <c r="B301">
        <v>2007</v>
      </c>
      <c r="C301">
        <v>2</v>
      </c>
      <c r="D301">
        <v>4</v>
      </c>
      <c r="E301">
        <v>60</v>
      </c>
      <c r="F301">
        <v>7.76</v>
      </c>
      <c r="G301">
        <v>2.98</v>
      </c>
      <c r="H301" t="s">
        <v>9</v>
      </c>
      <c r="I301" s="4">
        <f>igre_si[[#This Row],[Play Time]]/(SQRT(igre_si[[#This Row],[Min Players]]*igre_si[[#This Row],[Max Players]]))</f>
        <v>21.213203435596423</v>
      </c>
    </row>
    <row r="302" spans="1:9" x14ac:dyDescent="0.3">
      <c r="A302" t="s">
        <v>90</v>
      </c>
      <c r="B302">
        <v>2015</v>
      </c>
      <c r="C302">
        <v>2</v>
      </c>
      <c r="D302">
        <v>4</v>
      </c>
      <c r="E302">
        <v>80</v>
      </c>
      <c r="F302">
        <v>7.79</v>
      </c>
      <c r="G302">
        <v>2.5299999999999998</v>
      </c>
      <c r="H302" t="s">
        <v>9</v>
      </c>
      <c r="I302" s="4">
        <f>igre_si[[#This Row],[Play Time]]/(SQRT(igre_si[[#This Row],[Min Players]]*igre_si[[#This Row],[Max Players]]))</f>
        <v>28.284271247461898</v>
      </c>
    </row>
    <row r="303" spans="1:9" x14ac:dyDescent="0.3">
      <c r="A303" t="s">
        <v>116</v>
      </c>
      <c r="B303">
        <v>2005</v>
      </c>
      <c r="C303">
        <v>2</v>
      </c>
      <c r="D303">
        <v>6</v>
      </c>
      <c r="E303">
        <v>120</v>
      </c>
      <c r="F303">
        <v>7.69</v>
      </c>
      <c r="G303">
        <v>3.02</v>
      </c>
      <c r="H303" t="s">
        <v>9</v>
      </c>
      <c r="I303" s="4">
        <f>igre_si[[#This Row],[Play Time]]/(SQRT(igre_si[[#This Row],[Min Players]]*igre_si[[#This Row],[Max Players]]))</f>
        <v>34.641016151377549</v>
      </c>
    </row>
    <row r="304" spans="1:9" x14ac:dyDescent="0.3">
      <c r="A304" t="s">
        <v>114</v>
      </c>
      <c r="B304">
        <v>2017</v>
      </c>
      <c r="C304">
        <v>2</v>
      </c>
      <c r="D304">
        <v>4</v>
      </c>
      <c r="E304">
        <v>75</v>
      </c>
      <c r="F304">
        <v>7.7</v>
      </c>
      <c r="G304">
        <v>2.86</v>
      </c>
      <c r="H304" t="s">
        <v>9</v>
      </c>
      <c r="I304" s="4">
        <f>igre_si[[#This Row],[Play Time]]/(SQRT(igre_si[[#This Row],[Min Players]]*igre_si[[#This Row],[Max Players]]))</f>
        <v>26.51650429449553</v>
      </c>
    </row>
    <row r="305" spans="1:9" x14ac:dyDescent="0.3">
      <c r="A305" t="s">
        <v>229</v>
      </c>
      <c r="B305">
        <v>2015</v>
      </c>
      <c r="C305">
        <v>2</v>
      </c>
      <c r="D305">
        <v>2</v>
      </c>
      <c r="E305">
        <v>30</v>
      </c>
      <c r="F305">
        <v>7.33</v>
      </c>
      <c r="G305">
        <v>2.06</v>
      </c>
      <c r="H305" t="s">
        <v>39</v>
      </c>
      <c r="I305" s="4">
        <f>igre_si[[#This Row],[Play Time]]/(SQRT(igre_si[[#This Row],[Min Players]]*igre_si[[#This Row],[Max Players]]))</f>
        <v>15</v>
      </c>
    </row>
    <row r="306" spans="1:9" x14ac:dyDescent="0.3">
      <c r="A306" t="s">
        <v>427</v>
      </c>
      <c r="B306">
        <v>2008</v>
      </c>
      <c r="C306">
        <v>1</v>
      </c>
      <c r="D306">
        <v>8</v>
      </c>
      <c r="E306">
        <v>120</v>
      </c>
      <c r="F306">
        <v>6.3</v>
      </c>
      <c r="G306">
        <v>2.0699999999999998</v>
      </c>
      <c r="H306" t="s">
        <v>9</v>
      </c>
      <c r="I306" s="4">
        <f>igre_si[[#This Row],[Play Time]]/(SQRT(igre_si[[#This Row],[Min Players]]*igre_si[[#This Row],[Max Players]]))</f>
        <v>42.426406871192846</v>
      </c>
    </row>
    <row r="307" spans="1:9" x14ac:dyDescent="0.3">
      <c r="A307" t="s">
        <v>362</v>
      </c>
      <c r="B307">
        <v>2014</v>
      </c>
      <c r="C307">
        <v>2</v>
      </c>
      <c r="D307">
        <v>4</v>
      </c>
      <c r="E307">
        <v>30</v>
      </c>
      <c r="F307">
        <v>6.92</v>
      </c>
      <c r="G307">
        <v>1.7</v>
      </c>
      <c r="H307" t="s">
        <v>39</v>
      </c>
      <c r="I307" s="4">
        <f>igre_si[[#This Row],[Play Time]]/(SQRT(igre_si[[#This Row],[Min Players]]*igre_si[[#This Row],[Max Players]]))</f>
        <v>10.606601717798211</v>
      </c>
    </row>
    <row r="308" spans="1:9" x14ac:dyDescent="0.3">
      <c r="A308" t="s">
        <v>87</v>
      </c>
      <c r="B308">
        <v>2019</v>
      </c>
      <c r="C308">
        <v>2</v>
      </c>
      <c r="D308">
        <v>4</v>
      </c>
      <c r="E308">
        <v>60</v>
      </c>
      <c r="F308">
        <v>7.8</v>
      </c>
      <c r="G308">
        <v>2.59</v>
      </c>
      <c r="H308" t="s">
        <v>9</v>
      </c>
      <c r="I308" s="4">
        <f>igre_si[[#This Row],[Play Time]]/(SQRT(igre_si[[#This Row],[Min Players]]*igre_si[[#This Row],[Max Players]]))</f>
        <v>21.213203435596423</v>
      </c>
    </row>
    <row r="309" spans="1:9" x14ac:dyDescent="0.3">
      <c r="A309" t="s">
        <v>354</v>
      </c>
      <c r="B309">
        <v>2011</v>
      </c>
      <c r="C309">
        <v>2</v>
      </c>
      <c r="D309">
        <v>5</v>
      </c>
      <c r="E309">
        <v>15</v>
      </c>
      <c r="F309">
        <v>6.95</v>
      </c>
      <c r="G309">
        <v>1.03</v>
      </c>
      <c r="H309" t="s">
        <v>355</v>
      </c>
      <c r="I309" s="4">
        <f>igre_si[[#This Row],[Play Time]]/(SQRT(igre_si[[#This Row],[Min Players]]*igre_si[[#This Row],[Max Players]]))</f>
        <v>4.7434164902525691</v>
      </c>
    </row>
    <row r="310" spans="1:9" x14ac:dyDescent="0.3">
      <c r="A310" t="s">
        <v>67</v>
      </c>
      <c r="B310">
        <v>2018</v>
      </c>
      <c r="C310">
        <v>3</v>
      </c>
      <c r="D310">
        <v>5</v>
      </c>
      <c r="E310">
        <v>120</v>
      </c>
      <c r="F310">
        <v>7.88</v>
      </c>
      <c r="G310">
        <v>3.28</v>
      </c>
      <c r="H310" t="s">
        <v>9</v>
      </c>
      <c r="I310" s="4">
        <f>igre_si[[#This Row],[Play Time]]/(SQRT(igre_si[[#This Row],[Min Players]]*igre_si[[#This Row],[Max Players]]))</f>
        <v>30.983866769659333</v>
      </c>
    </row>
    <row r="311" spans="1:9" x14ac:dyDescent="0.3">
      <c r="A311" t="s">
        <v>458</v>
      </c>
      <c r="B311">
        <v>1959</v>
      </c>
      <c r="C311">
        <v>2</v>
      </c>
      <c r="D311">
        <v>6</v>
      </c>
      <c r="E311">
        <v>120</v>
      </c>
      <c r="F311">
        <v>5.59</v>
      </c>
      <c r="G311">
        <v>2.08</v>
      </c>
      <c r="H311" t="s">
        <v>39</v>
      </c>
      <c r="I311" s="4">
        <f>igre_si[[#This Row],[Play Time]]/(SQRT(igre_si[[#This Row],[Min Players]]*igre_si[[#This Row],[Max Players]]))</f>
        <v>34.641016151377549</v>
      </c>
    </row>
    <row r="312" spans="1:9" x14ac:dyDescent="0.3">
      <c r="A312" t="s">
        <v>393</v>
      </c>
      <c r="B312">
        <v>2001</v>
      </c>
      <c r="C312">
        <v>2</v>
      </c>
      <c r="D312">
        <v>5</v>
      </c>
      <c r="E312">
        <v>240</v>
      </c>
      <c r="F312">
        <v>6.7</v>
      </c>
      <c r="G312">
        <v>2.72</v>
      </c>
      <c r="H312" t="s">
        <v>94</v>
      </c>
      <c r="I312" s="4">
        <f>igre_si[[#This Row],[Play Time]]/(SQRT(igre_si[[#This Row],[Min Players]]*igre_si[[#This Row],[Max Players]]))</f>
        <v>75.894663844041105</v>
      </c>
    </row>
    <row r="313" spans="1:9" x14ac:dyDescent="0.3">
      <c r="A313" t="s">
        <v>198</v>
      </c>
      <c r="B313">
        <v>2011</v>
      </c>
      <c r="C313">
        <v>3</v>
      </c>
      <c r="D313">
        <v>5</v>
      </c>
      <c r="E313">
        <v>60</v>
      </c>
      <c r="F313">
        <v>7.42</v>
      </c>
      <c r="G313">
        <v>2.59</v>
      </c>
      <c r="H313" t="s">
        <v>9</v>
      </c>
      <c r="I313" s="4">
        <f>igre_si[[#This Row],[Play Time]]/(SQRT(igre_si[[#This Row],[Min Players]]*igre_si[[#This Row],[Max Players]]))</f>
        <v>15.491933384829666</v>
      </c>
    </row>
    <row r="314" spans="1:9" x14ac:dyDescent="0.3">
      <c r="A314" t="s">
        <v>345</v>
      </c>
      <c r="B314">
        <v>2010</v>
      </c>
      <c r="C314">
        <v>2</v>
      </c>
      <c r="D314">
        <v>2</v>
      </c>
      <c r="E314">
        <v>120</v>
      </c>
      <c r="F314">
        <v>6.98</v>
      </c>
      <c r="G314">
        <v>2.33</v>
      </c>
      <c r="H314" t="s">
        <v>9</v>
      </c>
      <c r="I314" s="4">
        <f>igre_si[[#This Row],[Play Time]]/(SQRT(igre_si[[#This Row],[Min Players]]*igre_si[[#This Row],[Max Players]]))</f>
        <v>60</v>
      </c>
    </row>
    <row r="315" spans="1:9" x14ac:dyDescent="0.3">
      <c r="A315" t="s">
        <v>311</v>
      </c>
      <c r="B315">
        <v>1994</v>
      </c>
      <c r="C315">
        <v>2</v>
      </c>
      <c r="D315">
        <v>8</v>
      </c>
      <c r="E315">
        <v>120</v>
      </c>
      <c r="F315">
        <v>7.08</v>
      </c>
      <c r="G315">
        <v>2.4300000000000002</v>
      </c>
      <c r="H315" t="s">
        <v>9</v>
      </c>
      <c r="I315" s="4">
        <f>igre_si[[#This Row],[Play Time]]/(SQRT(igre_si[[#This Row],[Min Players]]*igre_si[[#This Row],[Max Players]]))</f>
        <v>30</v>
      </c>
    </row>
    <row r="316" spans="1:9" x14ac:dyDescent="0.3">
      <c r="A316" t="s">
        <v>120</v>
      </c>
      <c r="B316">
        <v>2014</v>
      </c>
      <c r="C316">
        <v>2</v>
      </c>
      <c r="D316">
        <v>5</v>
      </c>
      <c r="E316">
        <v>45</v>
      </c>
      <c r="F316">
        <v>7.67</v>
      </c>
      <c r="G316">
        <v>2.77</v>
      </c>
      <c r="H316" t="s">
        <v>9</v>
      </c>
      <c r="I316" s="4">
        <f>igre_si[[#This Row],[Play Time]]/(SQRT(igre_si[[#This Row],[Min Players]]*igre_si[[#This Row],[Max Players]]))</f>
        <v>14.230249470757705</v>
      </c>
    </row>
    <row r="317" spans="1:9" x14ac:dyDescent="0.3">
      <c r="A317" t="s">
        <v>165</v>
      </c>
      <c r="B317">
        <v>2016</v>
      </c>
      <c r="C317">
        <v>1</v>
      </c>
      <c r="D317">
        <v>4</v>
      </c>
      <c r="E317">
        <v>90</v>
      </c>
      <c r="F317">
        <v>7.53</v>
      </c>
      <c r="G317">
        <v>2.38</v>
      </c>
      <c r="H317" t="s">
        <v>9</v>
      </c>
      <c r="I317" s="4">
        <f>igre_si[[#This Row],[Play Time]]/(SQRT(igre_si[[#This Row],[Min Players]]*igre_si[[#This Row],[Max Players]]))</f>
        <v>45</v>
      </c>
    </row>
    <row r="318" spans="1:9" x14ac:dyDescent="0.3">
      <c r="A318" t="s">
        <v>42</v>
      </c>
      <c r="B318">
        <v>2018</v>
      </c>
      <c r="C318">
        <v>2</v>
      </c>
      <c r="D318">
        <v>4</v>
      </c>
      <c r="E318">
        <v>90</v>
      </c>
      <c r="F318">
        <v>8.1</v>
      </c>
      <c r="G318">
        <v>3.67</v>
      </c>
      <c r="H318" t="s">
        <v>9</v>
      </c>
      <c r="I318" s="4">
        <f>igre_si[[#This Row],[Play Time]]/(SQRT(igre_si[[#This Row],[Min Players]]*igre_si[[#This Row],[Max Players]]))</f>
        <v>31.819805153394636</v>
      </c>
    </row>
    <row r="319" spans="1:9" x14ac:dyDescent="0.3">
      <c r="A319" t="s">
        <v>422</v>
      </c>
      <c r="B319">
        <v>1977</v>
      </c>
      <c r="C319">
        <v>2</v>
      </c>
      <c r="D319">
        <v>4</v>
      </c>
      <c r="E319">
        <v>60</v>
      </c>
      <c r="F319">
        <v>6.38</v>
      </c>
      <c r="G319">
        <v>1.75</v>
      </c>
      <c r="H319" t="s">
        <v>39</v>
      </c>
      <c r="I319" s="4">
        <f>igre_si[[#This Row],[Play Time]]/(SQRT(igre_si[[#This Row],[Min Players]]*igre_si[[#This Row],[Max Players]]))</f>
        <v>21.213203435596423</v>
      </c>
    </row>
    <row r="320" spans="1:9" x14ac:dyDescent="0.3">
      <c r="A320" t="s">
        <v>368</v>
      </c>
      <c r="B320">
        <v>2005</v>
      </c>
      <c r="C320">
        <v>2</v>
      </c>
      <c r="D320">
        <v>6</v>
      </c>
      <c r="E320">
        <v>240</v>
      </c>
      <c r="F320">
        <v>6.88</v>
      </c>
      <c r="G320">
        <v>2.68</v>
      </c>
      <c r="H320" t="s">
        <v>12</v>
      </c>
      <c r="I320" s="4">
        <f>igre_si[[#This Row],[Play Time]]/(SQRT(igre_si[[#This Row],[Min Players]]*igre_si[[#This Row],[Max Players]]))</f>
        <v>69.282032302755098</v>
      </c>
    </row>
    <row r="321" spans="1:9" x14ac:dyDescent="0.3">
      <c r="A321" t="s">
        <v>133</v>
      </c>
      <c r="B321">
        <v>2010</v>
      </c>
      <c r="C321">
        <v>2</v>
      </c>
      <c r="D321">
        <v>4</v>
      </c>
      <c r="E321">
        <v>240</v>
      </c>
      <c r="F321">
        <v>7.63</v>
      </c>
      <c r="G321">
        <v>3.78</v>
      </c>
      <c r="H321" t="s">
        <v>9</v>
      </c>
      <c r="I321" s="4">
        <f>igre_si[[#This Row],[Play Time]]/(SQRT(igre_si[[#This Row],[Min Players]]*igre_si[[#This Row],[Max Players]]))</f>
        <v>84.852813742385692</v>
      </c>
    </row>
    <row r="322" spans="1:9" x14ac:dyDescent="0.3">
      <c r="A322" t="s">
        <v>97</v>
      </c>
      <c r="B322">
        <v>2013</v>
      </c>
      <c r="C322">
        <v>2</v>
      </c>
      <c r="D322">
        <v>4</v>
      </c>
      <c r="E322">
        <v>120</v>
      </c>
      <c r="F322">
        <v>7.77</v>
      </c>
      <c r="G322">
        <v>3.41</v>
      </c>
      <c r="H322" t="s">
        <v>9</v>
      </c>
      <c r="I322" s="4">
        <f>igre_si[[#This Row],[Play Time]]/(SQRT(igre_si[[#This Row],[Min Players]]*igre_si[[#This Row],[Max Players]]))</f>
        <v>42.426406871192846</v>
      </c>
    </row>
    <row r="323" spans="1:9" x14ac:dyDescent="0.3">
      <c r="A323" t="s">
        <v>404</v>
      </c>
      <c r="B323">
        <v>2004</v>
      </c>
      <c r="C323">
        <v>3</v>
      </c>
      <c r="D323">
        <v>10</v>
      </c>
      <c r="E323">
        <v>30</v>
      </c>
      <c r="F323">
        <v>6.58</v>
      </c>
      <c r="G323">
        <v>1.33</v>
      </c>
      <c r="H323" t="s">
        <v>39</v>
      </c>
      <c r="I323" s="4">
        <f>igre_si[[#This Row],[Play Time]]/(SQRT(igre_si[[#This Row],[Min Players]]*igre_si[[#This Row],[Max Players]]))</f>
        <v>5.4772255750516612</v>
      </c>
    </row>
    <row r="324" spans="1:9" x14ac:dyDescent="0.3">
      <c r="A324" t="s">
        <v>166</v>
      </c>
      <c r="B324">
        <v>2017</v>
      </c>
      <c r="C324">
        <v>1</v>
      </c>
      <c r="D324">
        <v>4</v>
      </c>
      <c r="E324">
        <v>45</v>
      </c>
      <c r="F324">
        <v>7.53</v>
      </c>
      <c r="G324">
        <v>1.93</v>
      </c>
      <c r="H324" t="s">
        <v>81</v>
      </c>
      <c r="I324" s="4">
        <f>igre_si[[#This Row],[Play Time]]/(SQRT(igre_si[[#This Row],[Min Players]]*igre_si[[#This Row],[Max Players]]))</f>
        <v>22.5</v>
      </c>
    </row>
    <row r="325" spans="1:9" x14ac:dyDescent="0.3">
      <c r="A325" t="s">
        <v>239</v>
      </c>
      <c r="B325">
        <v>2004</v>
      </c>
      <c r="C325">
        <v>2</v>
      </c>
      <c r="D325">
        <v>4</v>
      </c>
      <c r="E325">
        <v>60</v>
      </c>
      <c r="F325">
        <v>7.3</v>
      </c>
      <c r="G325">
        <v>2.4700000000000002</v>
      </c>
      <c r="H325" t="s">
        <v>9</v>
      </c>
      <c r="I325" s="4">
        <f>igre_si[[#This Row],[Play Time]]/(SQRT(igre_si[[#This Row],[Min Players]]*igre_si[[#This Row],[Max Players]]))</f>
        <v>21.213203435596423</v>
      </c>
    </row>
    <row r="326" spans="1:9" x14ac:dyDescent="0.3">
      <c r="A326" t="s">
        <v>189</v>
      </c>
      <c r="B326">
        <v>1998</v>
      </c>
      <c r="C326">
        <v>2</v>
      </c>
      <c r="D326">
        <v>4</v>
      </c>
      <c r="E326">
        <v>60</v>
      </c>
      <c r="F326">
        <v>7.45</v>
      </c>
      <c r="G326">
        <v>2.4900000000000002</v>
      </c>
      <c r="H326" t="s">
        <v>9</v>
      </c>
      <c r="I326" s="4">
        <f>igre_si[[#This Row],[Play Time]]/(SQRT(igre_si[[#This Row],[Min Players]]*igre_si[[#This Row],[Max Players]]))</f>
        <v>21.213203435596423</v>
      </c>
    </row>
    <row r="327" spans="1:9" x14ac:dyDescent="0.3">
      <c r="A327" t="s">
        <v>261</v>
      </c>
      <c r="B327">
        <v>2004</v>
      </c>
      <c r="C327">
        <v>2</v>
      </c>
      <c r="D327">
        <v>4</v>
      </c>
      <c r="E327">
        <v>60</v>
      </c>
      <c r="F327">
        <v>7.25</v>
      </c>
      <c r="G327">
        <v>2.29</v>
      </c>
      <c r="H327" t="s">
        <v>9</v>
      </c>
      <c r="I327" s="4">
        <f>igre_si[[#This Row],[Play Time]]/(SQRT(igre_si[[#This Row],[Min Players]]*igre_si[[#This Row],[Max Players]]))</f>
        <v>21.213203435596423</v>
      </c>
    </row>
    <row r="328" spans="1:9" x14ac:dyDescent="0.3">
      <c r="A328" t="s">
        <v>179</v>
      </c>
      <c r="B328">
        <v>2016</v>
      </c>
      <c r="C328">
        <v>2</v>
      </c>
      <c r="D328">
        <v>4</v>
      </c>
      <c r="E328">
        <v>20</v>
      </c>
      <c r="F328">
        <v>7.48</v>
      </c>
      <c r="G328">
        <v>1.73</v>
      </c>
      <c r="H328" t="s">
        <v>81</v>
      </c>
      <c r="I328" s="4">
        <f>igre_si[[#This Row],[Play Time]]/(SQRT(igre_si[[#This Row],[Min Players]]*igre_si[[#This Row],[Max Players]]))</f>
        <v>7.0710678118654746</v>
      </c>
    </row>
    <row r="329" spans="1:9" x14ac:dyDescent="0.3">
      <c r="A329" t="s">
        <v>436</v>
      </c>
      <c r="B329">
        <v>1988</v>
      </c>
      <c r="C329">
        <v>2</v>
      </c>
      <c r="D329">
        <v>6</v>
      </c>
      <c r="E329">
        <v>30</v>
      </c>
      <c r="F329">
        <v>6.2</v>
      </c>
      <c r="G329">
        <v>1.38</v>
      </c>
      <c r="H329" t="s">
        <v>92</v>
      </c>
      <c r="I329" s="4">
        <f>igre_si[[#This Row],[Play Time]]/(SQRT(igre_si[[#This Row],[Min Players]]*igre_si[[#This Row],[Max Players]]))</f>
        <v>8.6602540378443873</v>
      </c>
    </row>
    <row r="330" spans="1:9" x14ac:dyDescent="0.3">
      <c r="A330" t="s">
        <v>234</v>
      </c>
      <c r="B330">
        <v>1999</v>
      </c>
      <c r="C330">
        <v>2</v>
      </c>
      <c r="D330">
        <v>2</v>
      </c>
      <c r="E330">
        <v>20</v>
      </c>
      <c r="F330">
        <v>7.31</v>
      </c>
      <c r="G330">
        <v>1.74</v>
      </c>
      <c r="H330" t="s">
        <v>39</v>
      </c>
      <c r="I330" s="4">
        <f>igre_si[[#This Row],[Play Time]]/(SQRT(igre_si[[#This Row],[Min Players]]*igre_si[[#This Row],[Max Players]]))</f>
        <v>10</v>
      </c>
    </row>
    <row r="331" spans="1:9" x14ac:dyDescent="0.3">
      <c r="A331" t="s">
        <v>414</v>
      </c>
      <c r="B331">
        <v>1983</v>
      </c>
      <c r="C331">
        <v>3</v>
      </c>
      <c r="D331">
        <v>6</v>
      </c>
      <c r="E331">
        <v>45</v>
      </c>
      <c r="F331">
        <v>6.51</v>
      </c>
      <c r="G331">
        <v>1.96</v>
      </c>
      <c r="H331" t="s">
        <v>39</v>
      </c>
      <c r="I331" s="4">
        <f>igre_si[[#This Row],[Play Time]]/(SQRT(igre_si[[#This Row],[Min Players]]*igre_si[[#This Row],[Max Players]]))</f>
        <v>10.606601717798213</v>
      </c>
    </row>
    <row r="332" spans="1:9" x14ac:dyDescent="0.3">
      <c r="A332" t="s">
        <v>431</v>
      </c>
      <c r="B332">
        <v>1948</v>
      </c>
      <c r="C332">
        <v>2</v>
      </c>
      <c r="D332">
        <v>4</v>
      </c>
      <c r="E332">
        <v>90</v>
      </c>
      <c r="F332">
        <v>6.28</v>
      </c>
      <c r="G332">
        <v>2.09</v>
      </c>
      <c r="H332" t="s">
        <v>39</v>
      </c>
      <c r="I332" s="4">
        <f>igre_si[[#This Row],[Play Time]]/(SQRT(igre_si[[#This Row],[Min Players]]*igre_si[[#This Row],[Max Players]]))</f>
        <v>31.819805153394636</v>
      </c>
    </row>
    <row r="333" spans="1:9" x14ac:dyDescent="0.3">
      <c r="A333" t="s">
        <v>24</v>
      </c>
      <c r="B333">
        <v>2016</v>
      </c>
      <c r="C333">
        <v>1</v>
      </c>
      <c r="D333">
        <v>5</v>
      </c>
      <c r="E333">
        <v>115</v>
      </c>
      <c r="F333">
        <v>8.24</v>
      </c>
      <c r="G333">
        <v>3.41</v>
      </c>
      <c r="H333" t="s">
        <v>9</v>
      </c>
      <c r="I333" s="4">
        <f>igre_si[[#This Row],[Play Time]]/(SQRT(igre_si[[#This Row],[Min Players]]*igre_si[[#This Row],[Max Players]]))</f>
        <v>51.429563482495162</v>
      </c>
    </row>
    <row r="334" spans="1:9" x14ac:dyDescent="0.3">
      <c r="A334" t="s">
        <v>204</v>
      </c>
      <c r="B334">
        <v>2012</v>
      </c>
      <c r="C334">
        <v>2</v>
      </c>
      <c r="D334">
        <v>4</v>
      </c>
      <c r="E334">
        <v>60</v>
      </c>
      <c r="F334">
        <v>7.41</v>
      </c>
      <c r="G334">
        <v>2.77</v>
      </c>
      <c r="H334" t="s">
        <v>9</v>
      </c>
      <c r="I334" s="4">
        <f>igre_si[[#This Row],[Play Time]]/(SQRT(igre_si[[#This Row],[Min Players]]*igre_si[[#This Row],[Max Players]]))</f>
        <v>21.213203435596423</v>
      </c>
    </row>
    <row r="335" spans="1:9" x14ac:dyDescent="0.3">
      <c r="A335" t="s">
        <v>152</v>
      </c>
      <c r="B335">
        <v>2016</v>
      </c>
      <c r="C335">
        <v>5</v>
      </c>
      <c r="D335">
        <v>10</v>
      </c>
      <c r="E335">
        <v>45</v>
      </c>
      <c r="F335">
        <v>7.57</v>
      </c>
      <c r="G335">
        <v>1.69</v>
      </c>
      <c r="H335" t="s">
        <v>92</v>
      </c>
      <c r="I335" s="4">
        <f>igre_si[[#This Row],[Play Time]]/(SQRT(igre_si[[#This Row],[Min Players]]*igre_si[[#This Row],[Max Players]]))</f>
        <v>6.3639610306789276</v>
      </c>
    </row>
    <row r="336" spans="1:9" x14ac:dyDescent="0.3">
      <c r="A336" t="s">
        <v>265</v>
      </c>
      <c r="B336">
        <v>2011</v>
      </c>
      <c r="C336">
        <v>2</v>
      </c>
      <c r="D336">
        <v>5</v>
      </c>
      <c r="E336">
        <v>60</v>
      </c>
      <c r="F336">
        <v>7.22</v>
      </c>
      <c r="G336">
        <v>2.5</v>
      </c>
      <c r="H336" t="s">
        <v>12</v>
      </c>
      <c r="I336" s="4">
        <f>igre_si[[#This Row],[Play Time]]/(SQRT(igre_si[[#This Row],[Min Players]]*igre_si[[#This Row],[Max Players]]))</f>
        <v>18.973665961010276</v>
      </c>
    </row>
    <row r="337" spans="1:9" x14ac:dyDescent="0.3">
      <c r="A337" t="s">
        <v>444</v>
      </c>
      <c r="B337">
        <v>1982</v>
      </c>
      <c r="C337">
        <v>2</v>
      </c>
      <c r="D337">
        <v>12</v>
      </c>
      <c r="E337">
        <v>30</v>
      </c>
      <c r="F337">
        <v>6.02</v>
      </c>
      <c r="G337">
        <v>1.34</v>
      </c>
      <c r="H337" t="s">
        <v>39</v>
      </c>
      <c r="I337" s="4">
        <f>igre_si[[#This Row],[Play Time]]/(SQRT(igre_si[[#This Row],[Min Players]]*igre_si[[#This Row],[Max Players]]))</f>
        <v>6.123724356957946</v>
      </c>
    </row>
    <row r="338" spans="1:9" x14ac:dyDescent="0.3">
      <c r="A338" t="s">
        <v>417</v>
      </c>
      <c r="B338">
        <v>1988</v>
      </c>
      <c r="C338">
        <v>1</v>
      </c>
      <c r="D338">
        <v>20</v>
      </c>
      <c r="E338">
        <v>30</v>
      </c>
      <c r="F338">
        <v>6.48</v>
      </c>
      <c r="G338">
        <v>1.68</v>
      </c>
      <c r="H338" t="s">
        <v>81</v>
      </c>
      <c r="I338" s="4">
        <f>igre_si[[#This Row],[Play Time]]/(SQRT(igre_si[[#This Row],[Min Players]]*igre_si[[#This Row],[Max Players]]))</f>
        <v>6.7082039324993685</v>
      </c>
    </row>
    <row r="339" spans="1:9" x14ac:dyDescent="0.3">
      <c r="A339" t="s">
        <v>301</v>
      </c>
      <c r="B339">
        <v>2005</v>
      </c>
      <c r="C339">
        <v>3</v>
      </c>
      <c r="D339">
        <v>7</v>
      </c>
      <c r="E339">
        <v>80</v>
      </c>
      <c r="F339">
        <v>7.12</v>
      </c>
      <c r="G339">
        <v>2.57</v>
      </c>
      <c r="H339" t="s">
        <v>12</v>
      </c>
      <c r="I339" s="4">
        <f>igre_si[[#This Row],[Play Time]]/(SQRT(igre_si[[#This Row],[Min Players]]*igre_si[[#This Row],[Max Players]]))</f>
        <v>17.457431218879393</v>
      </c>
    </row>
    <row r="340" spans="1:9" x14ac:dyDescent="0.3">
      <c r="A340" t="s">
        <v>291</v>
      </c>
      <c r="B340">
        <v>2014</v>
      </c>
      <c r="C340">
        <v>3</v>
      </c>
      <c r="D340">
        <v>5</v>
      </c>
      <c r="E340">
        <v>60</v>
      </c>
      <c r="F340">
        <v>7.14</v>
      </c>
      <c r="G340">
        <v>1.65</v>
      </c>
      <c r="H340" t="s">
        <v>39</v>
      </c>
      <c r="I340" s="4">
        <f>igre_si[[#This Row],[Play Time]]/(SQRT(igre_si[[#This Row],[Min Players]]*igre_si[[#This Row],[Max Players]]))</f>
        <v>15.491933384829666</v>
      </c>
    </row>
    <row r="341" spans="1:9" x14ac:dyDescent="0.3">
      <c r="A341" t="s">
        <v>163</v>
      </c>
      <c r="B341">
        <v>2006</v>
      </c>
      <c r="C341">
        <v>3</v>
      </c>
      <c r="D341">
        <v>5</v>
      </c>
      <c r="E341">
        <v>120</v>
      </c>
      <c r="F341">
        <v>7.54</v>
      </c>
      <c r="G341">
        <v>3.37</v>
      </c>
      <c r="H341" t="s">
        <v>9</v>
      </c>
      <c r="I341" s="4">
        <f>igre_si[[#This Row],[Play Time]]/(SQRT(igre_si[[#This Row],[Min Players]]*igre_si[[#This Row],[Max Players]]))</f>
        <v>30.983866769659333</v>
      </c>
    </row>
    <row r="342" spans="1:9" x14ac:dyDescent="0.3">
      <c r="A342" t="s">
        <v>460</v>
      </c>
      <c r="B342">
        <v>1967</v>
      </c>
      <c r="C342">
        <v>2</v>
      </c>
      <c r="D342">
        <v>6</v>
      </c>
      <c r="E342">
        <v>20</v>
      </c>
      <c r="F342">
        <v>5.47</v>
      </c>
      <c r="G342">
        <v>1.22</v>
      </c>
      <c r="H342" t="s">
        <v>39</v>
      </c>
      <c r="I342" s="4">
        <f>igre_si[[#This Row],[Play Time]]/(SQRT(igre_si[[#This Row],[Min Players]]*igre_si[[#This Row],[Max Players]]))</f>
        <v>5.7735026918962582</v>
      </c>
    </row>
    <row r="343" spans="1:9" x14ac:dyDescent="0.3">
      <c r="A343" t="s">
        <v>271</v>
      </c>
      <c r="B343">
        <v>2011</v>
      </c>
      <c r="C343">
        <v>3</v>
      </c>
      <c r="D343">
        <v>6</v>
      </c>
      <c r="E343">
        <v>45</v>
      </c>
      <c r="F343">
        <v>7.21</v>
      </c>
      <c r="G343">
        <v>1.1399999999999999</v>
      </c>
      <c r="H343" t="s">
        <v>92</v>
      </c>
      <c r="I343" s="4">
        <f>igre_si[[#This Row],[Play Time]]/(SQRT(igre_si[[#This Row],[Min Players]]*igre_si[[#This Row],[Max Players]]))</f>
        <v>10.606601717798213</v>
      </c>
    </row>
    <row r="344" spans="1:9" x14ac:dyDescent="0.3">
      <c r="A344" t="s">
        <v>255</v>
      </c>
      <c r="B344">
        <v>2009</v>
      </c>
      <c r="C344">
        <v>2</v>
      </c>
      <c r="D344">
        <v>5</v>
      </c>
      <c r="E344">
        <v>80</v>
      </c>
      <c r="F344">
        <v>7.26</v>
      </c>
      <c r="G344">
        <v>2.36</v>
      </c>
      <c r="H344" t="s">
        <v>39</v>
      </c>
      <c r="I344" s="4">
        <f>igre_si[[#This Row],[Play Time]]/(SQRT(igre_si[[#This Row],[Min Players]]*igre_si[[#This Row],[Max Players]]))</f>
        <v>25.298221281347033</v>
      </c>
    </row>
    <row r="345" spans="1:9" x14ac:dyDescent="0.3">
      <c r="A345" t="s">
        <v>250</v>
      </c>
      <c r="B345">
        <v>2011</v>
      </c>
      <c r="C345">
        <v>2</v>
      </c>
      <c r="D345">
        <v>5</v>
      </c>
      <c r="E345">
        <v>90</v>
      </c>
      <c r="F345">
        <v>7.27</v>
      </c>
      <c r="G345">
        <v>2.59</v>
      </c>
      <c r="H345" t="s">
        <v>9</v>
      </c>
      <c r="I345" s="4">
        <f>igre_si[[#This Row],[Play Time]]/(SQRT(igre_si[[#This Row],[Min Players]]*igre_si[[#This Row],[Max Players]]))</f>
        <v>28.460498941515411</v>
      </c>
    </row>
    <row r="346" spans="1:9" x14ac:dyDescent="0.3">
      <c r="A346" t="s">
        <v>385</v>
      </c>
      <c r="B346">
        <v>2012</v>
      </c>
      <c r="C346">
        <v>2</v>
      </c>
      <c r="D346">
        <v>4</v>
      </c>
      <c r="E346">
        <v>45</v>
      </c>
      <c r="F346">
        <v>6.75</v>
      </c>
      <c r="G346">
        <v>2.06</v>
      </c>
      <c r="H346" t="s">
        <v>9</v>
      </c>
      <c r="I346" s="4">
        <f>igre_si[[#This Row],[Play Time]]/(SQRT(igre_si[[#This Row],[Min Players]]*igre_si[[#This Row],[Max Players]]))</f>
        <v>15.909902576697318</v>
      </c>
    </row>
    <row r="347" spans="1:9" x14ac:dyDescent="0.3">
      <c r="A347" t="s">
        <v>257</v>
      </c>
      <c r="B347">
        <v>2013</v>
      </c>
      <c r="C347">
        <v>2</v>
      </c>
      <c r="D347">
        <v>2</v>
      </c>
      <c r="E347">
        <v>45</v>
      </c>
      <c r="F347">
        <v>7.25</v>
      </c>
      <c r="G347">
        <v>2.13</v>
      </c>
      <c r="H347" t="s">
        <v>39</v>
      </c>
      <c r="I347" s="4">
        <f>igre_si[[#This Row],[Play Time]]/(SQRT(igre_si[[#This Row],[Min Players]]*igre_si[[#This Row],[Max Players]]))</f>
        <v>22.5</v>
      </c>
    </row>
    <row r="348" spans="1:9" x14ac:dyDescent="0.3">
      <c r="A348" t="s">
        <v>191</v>
      </c>
      <c r="B348">
        <v>2008</v>
      </c>
      <c r="C348">
        <v>1</v>
      </c>
      <c r="D348">
        <v>5</v>
      </c>
      <c r="E348">
        <v>30</v>
      </c>
      <c r="F348">
        <v>7.44</v>
      </c>
      <c r="G348">
        <v>2.96</v>
      </c>
      <c r="H348" t="s">
        <v>12</v>
      </c>
      <c r="I348" s="4">
        <f>igre_si[[#This Row],[Play Time]]/(SQRT(igre_si[[#This Row],[Min Players]]*igre_si[[#This Row],[Max Players]]))</f>
        <v>13.416407864998737</v>
      </c>
    </row>
    <row r="349" spans="1:9" x14ac:dyDescent="0.3">
      <c r="A349" t="s">
        <v>142</v>
      </c>
      <c r="B349">
        <v>2018</v>
      </c>
      <c r="C349">
        <v>2</v>
      </c>
      <c r="D349">
        <v>5</v>
      </c>
      <c r="E349">
        <v>60</v>
      </c>
      <c r="F349">
        <v>7.59</v>
      </c>
      <c r="G349">
        <v>2.13</v>
      </c>
      <c r="H349" t="s">
        <v>39</v>
      </c>
      <c r="I349" s="4">
        <f>igre_si[[#This Row],[Play Time]]/(SQRT(igre_si[[#This Row],[Min Players]]*igre_si[[#This Row],[Max Players]]))</f>
        <v>18.973665961010276</v>
      </c>
    </row>
    <row r="350" spans="1:9" x14ac:dyDescent="0.3">
      <c r="A350" t="s">
        <v>19</v>
      </c>
      <c r="B350">
        <v>2017</v>
      </c>
      <c r="C350">
        <v>1</v>
      </c>
      <c r="D350">
        <v>4</v>
      </c>
      <c r="E350">
        <v>120</v>
      </c>
      <c r="F350">
        <v>8.35</v>
      </c>
      <c r="G350">
        <v>4.01</v>
      </c>
      <c r="H350" t="s">
        <v>9</v>
      </c>
      <c r="I350" s="4">
        <f>igre_si[[#This Row],[Play Time]]/(SQRT(igre_si[[#This Row],[Min Players]]*igre_si[[#This Row],[Max Players]]))</f>
        <v>60</v>
      </c>
    </row>
    <row r="351" spans="1:9" x14ac:dyDescent="0.3">
      <c r="A351" t="s">
        <v>188</v>
      </c>
      <c r="B351">
        <v>2014</v>
      </c>
      <c r="C351">
        <v>2</v>
      </c>
      <c r="D351">
        <v>4</v>
      </c>
      <c r="E351">
        <v>30</v>
      </c>
      <c r="F351">
        <v>7.45</v>
      </c>
      <c r="G351">
        <v>1.8</v>
      </c>
      <c r="H351" t="s">
        <v>39</v>
      </c>
      <c r="I351" s="4">
        <f>igre_si[[#This Row],[Play Time]]/(SQRT(igre_si[[#This Row],[Min Players]]*igre_si[[#This Row],[Max Players]]))</f>
        <v>10.606601717798211</v>
      </c>
    </row>
    <row r="352" spans="1:9" x14ac:dyDescent="0.3">
      <c r="A352" t="s">
        <v>399</v>
      </c>
      <c r="B352">
        <v>2009</v>
      </c>
      <c r="C352">
        <v>2</v>
      </c>
      <c r="D352">
        <v>8</v>
      </c>
      <c r="E352">
        <v>15</v>
      </c>
      <c r="F352">
        <v>6.63</v>
      </c>
      <c r="G352">
        <v>1.03</v>
      </c>
      <c r="H352" t="s">
        <v>92</v>
      </c>
      <c r="I352" s="4">
        <f>igre_si[[#This Row],[Play Time]]/(SQRT(igre_si[[#This Row],[Min Players]]*igre_si[[#This Row],[Max Players]]))</f>
        <v>3.75</v>
      </c>
    </row>
    <row r="353" spans="1:9" x14ac:dyDescent="0.3">
      <c r="A353" t="s">
        <v>369</v>
      </c>
      <c r="B353">
        <v>2014</v>
      </c>
      <c r="C353">
        <v>3</v>
      </c>
      <c r="D353">
        <v>8</v>
      </c>
      <c r="E353">
        <v>15</v>
      </c>
      <c r="F353">
        <v>6.88</v>
      </c>
      <c r="G353">
        <v>1.24</v>
      </c>
      <c r="H353" t="s">
        <v>92</v>
      </c>
      <c r="I353" s="4">
        <f>igre_si[[#This Row],[Play Time]]/(SQRT(igre_si[[#This Row],[Min Players]]*igre_si[[#This Row],[Max Players]]))</f>
        <v>3.061862178478973</v>
      </c>
    </row>
    <row r="354" spans="1:9" x14ac:dyDescent="0.3">
      <c r="A354" t="s">
        <v>424</v>
      </c>
      <c r="B354">
        <v>2011</v>
      </c>
      <c r="C354">
        <v>2</v>
      </c>
      <c r="D354">
        <v>6</v>
      </c>
      <c r="E354">
        <v>40</v>
      </c>
      <c r="F354">
        <v>6.36</v>
      </c>
      <c r="G354">
        <v>1.44</v>
      </c>
      <c r="H354" t="s">
        <v>39</v>
      </c>
      <c r="I354" s="4">
        <f>igre_si[[#This Row],[Play Time]]/(SQRT(igre_si[[#This Row],[Min Players]]*igre_si[[#This Row],[Max Players]]))</f>
        <v>11.547005383792516</v>
      </c>
    </row>
    <row r="355" spans="1:9" x14ac:dyDescent="0.3">
      <c r="A355" t="s">
        <v>145</v>
      </c>
      <c r="B355">
        <v>2014</v>
      </c>
      <c r="C355">
        <v>2</v>
      </c>
      <c r="D355">
        <v>2</v>
      </c>
      <c r="E355">
        <v>20</v>
      </c>
      <c r="F355">
        <v>7.58</v>
      </c>
      <c r="G355">
        <v>1.94</v>
      </c>
      <c r="H355" t="s">
        <v>9</v>
      </c>
      <c r="I355" s="4">
        <f>igre_si[[#This Row],[Play Time]]/(SQRT(igre_si[[#This Row],[Min Players]]*igre_si[[#This Row],[Max Players]]))</f>
        <v>10</v>
      </c>
    </row>
    <row r="356" spans="1:9" x14ac:dyDescent="0.3">
      <c r="A356" t="s">
        <v>70</v>
      </c>
      <c r="B356">
        <v>2015</v>
      </c>
      <c r="C356">
        <v>2</v>
      </c>
      <c r="D356">
        <v>2</v>
      </c>
      <c r="E356">
        <v>20</v>
      </c>
      <c r="F356">
        <v>7.87</v>
      </c>
      <c r="G356">
        <v>1.9</v>
      </c>
      <c r="H356" t="s">
        <v>9</v>
      </c>
      <c r="I356" s="4">
        <f>igre_si[[#This Row],[Play Time]]/(SQRT(igre_si[[#This Row],[Min Players]]*igre_si[[#This Row],[Max Players]]))</f>
        <v>10</v>
      </c>
    </row>
    <row r="357" spans="1:9" x14ac:dyDescent="0.3">
      <c r="A357" t="s">
        <v>52</v>
      </c>
      <c r="B357">
        <v>2014</v>
      </c>
      <c r="C357">
        <v>1</v>
      </c>
      <c r="D357">
        <v>5</v>
      </c>
      <c r="E357">
        <v>120</v>
      </c>
      <c r="F357">
        <v>8.02</v>
      </c>
      <c r="G357">
        <v>3.3</v>
      </c>
      <c r="H357" t="s">
        <v>12</v>
      </c>
      <c r="I357" s="4">
        <f>igre_si[[#This Row],[Play Time]]/(SQRT(igre_si[[#This Row],[Min Players]]*igre_si[[#This Row],[Max Players]]))</f>
        <v>53.665631459994948</v>
      </c>
    </row>
    <row r="358" spans="1:9" x14ac:dyDescent="0.3">
      <c r="A358" t="s">
        <v>107</v>
      </c>
      <c r="B358">
        <v>2019</v>
      </c>
      <c r="C358">
        <v>1</v>
      </c>
      <c r="D358">
        <v>4</v>
      </c>
      <c r="E358">
        <v>180</v>
      </c>
      <c r="F358">
        <v>7.74</v>
      </c>
      <c r="G358">
        <v>2.4700000000000002</v>
      </c>
      <c r="H358" t="s">
        <v>12</v>
      </c>
      <c r="I358" s="4">
        <f>igre_si[[#This Row],[Play Time]]/(SQRT(igre_si[[#This Row],[Min Players]]*igre_si[[#This Row],[Max Players]]))</f>
        <v>90</v>
      </c>
    </row>
    <row r="359" spans="1:9" x14ac:dyDescent="0.3">
      <c r="A359" t="s">
        <v>17</v>
      </c>
      <c r="B359">
        <v>2016</v>
      </c>
      <c r="C359">
        <v>2</v>
      </c>
      <c r="D359">
        <v>4</v>
      </c>
      <c r="E359">
        <v>240</v>
      </c>
      <c r="F359">
        <v>8.42</v>
      </c>
      <c r="G359">
        <v>3.71</v>
      </c>
      <c r="H359" t="s">
        <v>12</v>
      </c>
      <c r="I359" s="4">
        <f>igre_si[[#This Row],[Play Time]]/(SQRT(igre_si[[#This Row],[Min Players]]*igre_si[[#This Row],[Max Players]]))</f>
        <v>84.852813742385692</v>
      </c>
    </row>
    <row r="360" spans="1:9" x14ac:dyDescent="0.3">
      <c r="A360" t="s">
        <v>276</v>
      </c>
      <c r="B360">
        <v>2012</v>
      </c>
      <c r="C360">
        <v>2</v>
      </c>
      <c r="D360">
        <v>2</v>
      </c>
      <c r="E360">
        <v>60</v>
      </c>
      <c r="F360">
        <v>7.19</v>
      </c>
      <c r="G360">
        <v>2.96</v>
      </c>
      <c r="H360" t="s">
        <v>28</v>
      </c>
      <c r="I360" s="4">
        <f>igre_si[[#This Row],[Play Time]]/(SQRT(igre_si[[#This Row],[Min Players]]*igre_si[[#This Row],[Max Players]]))</f>
        <v>30</v>
      </c>
    </row>
    <row r="361" spans="1:9" x14ac:dyDescent="0.3">
      <c r="A361" t="s">
        <v>143</v>
      </c>
      <c r="B361">
        <v>2009</v>
      </c>
      <c r="C361">
        <v>3</v>
      </c>
      <c r="D361">
        <v>5</v>
      </c>
      <c r="E361">
        <v>90</v>
      </c>
      <c r="F361">
        <v>7.59</v>
      </c>
      <c r="G361">
        <v>3.46</v>
      </c>
      <c r="H361" t="s">
        <v>9</v>
      </c>
      <c r="I361" s="4">
        <f>igre_si[[#This Row],[Play Time]]/(SQRT(igre_si[[#This Row],[Min Players]]*igre_si[[#This Row],[Max Players]]))</f>
        <v>23.2379000772445</v>
      </c>
    </row>
    <row r="362" spans="1:9" x14ac:dyDescent="0.3">
      <c r="A362" t="s">
        <v>153</v>
      </c>
      <c r="B362">
        <v>2008</v>
      </c>
      <c r="C362">
        <v>2</v>
      </c>
      <c r="D362">
        <v>4</v>
      </c>
      <c r="E362">
        <v>90</v>
      </c>
      <c r="F362">
        <v>7.57</v>
      </c>
      <c r="G362">
        <v>2.48</v>
      </c>
      <c r="H362" t="s">
        <v>39</v>
      </c>
      <c r="I362" s="4">
        <f>igre_si[[#This Row],[Play Time]]/(SQRT(igre_si[[#This Row],[Min Players]]*igre_si[[#This Row],[Max Players]]))</f>
        <v>31.819805153394636</v>
      </c>
    </row>
    <row r="363" spans="1:9" x14ac:dyDescent="0.3">
      <c r="A363" t="s">
        <v>441</v>
      </c>
      <c r="B363">
        <v>1946</v>
      </c>
      <c r="C363">
        <v>2</v>
      </c>
      <c r="D363">
        <v>2</v>
      </c>
      <c r="E363">
        <v>45</v>
      </c>
      <c r="F363">
        <v>6.09</v>
      </c>
      <c r="G363">
        <v>1.85</v>
      </c>
      <c r="H363" t="s">
        <v>81</v>
      </c>
      <c r="I363" s="4">
        <f>igre_si[[#This Row],[Play Time]]/(SQRT(igre_si[[#This Row],[Min Players]]*igre_si[[#This Row],[Max Players]]))</f>
        <v>22.5</v>
      </c>
    </row>
    <row r="364" spans="1:9" x14ac:dyDescent="0.3">
      <c r="A364" t="s">
        <v>150</v>
      </c>
      <c r="B364">
        <v>2018</v>
      </c>
      <c r="C364">
        <v>2</v>
      </c>
      <c r="D364">
        <v>4</v>
      </c>
      <c r="E364">
        <v>90</v>
      </c>
      <c r="F364">
        <v>7.57</v>
      </c>
      <c r="G364">
        <v>2.41</v>
      </c>
      <c r="H364" t="s">
        <v>12</v>
      </c>
      <c r="I364" s="4">
        <f>igre_si[[#This Row],[Play Time]]/(SQRT(igre_si[[#This Row],[Min Players]]*igre_si[[#This Row],[Max Players]]))</f>
        <v>31.819805153394636</v>
      </c>
    </row>
    <row r="365" spans="1:9" x14ac:dyDescent="0.3">
      <c r="A365" t="s">
        <v>171</v>
      </c>
      <c r="B365">
        <v>2012</v>
      </c>
      <c r="C365">
        <v>1</v>
      </c>
      <c r="D365">
        <v>4</v>
      </c>
      <c r="E365">
        <v>90</v>
      </c>
      <c r="F365">
        <v>7.52</v>
      </c>
      <c r="G365">
        <v>2.78</v>
      </c>
      <c r="H365" t="s">
        <v>9</v>
      </c>
      <c r="I365" s="4">
        <f>igre_si[[#This Row],[Play Time]]/(SQRT(igre_si[[#This Row],[Min Players]]*igre_si[[#This Row],[Max Players]]))</f>
        <v>45</v>
      </c>
    </row>
    <row r="366" spans="1:9" x14ac:dyDescent="0.3">
      <c r="A366" t="s">
        <v>168</v>
      </c>
      <c r="B366">
        <v>2011</v>
      </c>
      <c r="C366">
        <v>2</v>
      </c>
      <c r="D366">
        <v>4</v>
      </c>
      <c r="E366">
        <v>60</v>
      </c>
      <c r="F366">
        <v>7.52</v>
      </c>
      <c r="G366">
        <v>2.5099999999999998</v>
      </c>
      <c r="H366" t="s">
        <v>28</v>
      </c>
      <c r="I366" s="4">
        <f>igre_si[[#This Row],[Play Time]]/(SQRT(igre_si[[#This Row],[Min Players]]*igre_si[[#This Row],[Max Players]]))</f>
        <v>21.213203435596423</v>
      </c>
    </row>
    <row r="367" spans="1:9" x14ac:dyDescent="0.3">
      <c r="A367" t="s">
        <v>233</v>
      </c>
      <c r="B367">
        <v>1982</v>
      </c>
      <c r="C367">
        <v>2</v>
      </c>
      <c r="D367">
        <v>4</v>
      </c>
      <c r="E367">
        <v>60</v>
      </c>
      <c r="F367">
        <v>7.31</v>
      </c>
      <c r="G367">
        <v>1.71</v>
      </c>
      <c r="H367" t="s">
        <v>39</v>
      </c>
      <c r="I367" s="4">
        <f>igre_si[[#This Row],[Play Time]]/(SQRT(igre_si[[#This Row],[Min Players]]*igre_si[[#This Row],[Max Players]]))</f>
        <v>21.213203435596423</v>
      </c>
    </row>
    <row r="368" spans="1:9" x14ac:dyDescent="0.3">
      <c r="A368" t="s">
        <v>184</v>
      </c>
      <c r="B368">
        <v>2016</v>
      </c>
      <c r="C368">
        <v>2</v>
      </c>
      <c r="D368">
        <v>8</v>
      </c>
      <c r="E368">
        <v>20</v>
      </c>
      <c r="F368">
        <v>7.46</v>
      </c>
      <c r="G368">
        <v>1.32</v>
      </c>
      <c r="H368" t="s">
        <v>39</v>
      </c>
      <c r="I368" s="4">
        <f>igre_si[[#This Row],[Play Time]]/(SQRT(igre_si[[#This Row],[Min Players]]*igre_si[[#This Row],[Max Players]]))</f>
        <v>5</v>
      </c>
    </row>
    <row r="369" spans="1:9" x14ac:dyDescent="0.3">
      <c r="A369" t="s">
        <v>327</v>
      </c>
      <c r="B369">
        <v>2013</v>
      </c>
      <c r="C369">
        <v>2</v>
      </c>
      <c r="D369">
        <v>5</v>
      </c>
      <c r="E369">
        <v>15</v>
      </c>
      <c r="F369">
        <v>7.05</v>
      </c>
      <c r="G369">
        <v>1.17</v>
      </c>
      <c r="H369" t="s">
        <v>39</v>
      </c>
      <c r="I369" s="4">
        <f>igre_si[[#This Row],[Play Time]]/(SQRT(igre_si[[#This Row],[Min Players]]*igre_si[[#This Row],[Max Players]]))</f>
        <v>4.7434164902525691</v>
      </c>
    </row>
    <row r="370" spans="1:9" x14ac:dyDescent="0.3">
      <c r="A370" t="s">
        <v>159</v>
      </c>
      <c r="B370">
        <v>2015</v>
      </c>
      <c r="C370">
        <v>2</v>
      </c>
      <c r="D370">
        <v>4</v>
      </c>
      <c r="E370">
        <v>90</v>
      </c>
      <c r="F370">
        <v>7.55</v>
      </c>
      <c r="G370">
        <v>2.61</v>
      </c>
      <c r="H370" t="s">
        <v>12</v>
      </c>
      <c r="I370" s="4">
        <f>igre_si[[#This Row],[Play Time]]/(SQRT(igre_si[[#This Row],[Min Players]]*igre_si[[#This Row],[Max Players]]))</f>
        <v>31.819805153394636</v>
      </c>
    </row>
    <row r="371" spans="1:9" x14ac:dyDescent="0.3">
      <c r="A371" t="s">
        <v>430</v>
      </c>
      <c r="B371">
        <v>1989</v>
      </c>
      <c r="C371">
        <v>4</v>
      </c>
      <c r="D371">
        <v>10</v>
      </c>
      <c r="E371">
        <v>20</v>
      </c>
      <c r="F371">
        <v>6.29</v>
      </c>
      <c r="G371">
        <v>1.22</v>
      </c>
      <c r="H371" t="s">
        <v>92</v>
      </c>
      <c r="I371" s="4">
        <f>igre_si[[#This Row],[Play Time]]/(SQRT(igre_si[[#This Row],[Min Players]]*igre_si[[#This Row],[Max Players]]))</f>
        <v>3.1622776601683791</v>
      </c>
    </row>
    <row r="372" spans="1:9" x14ac:dyDescent="0.3">
      <c r="A372" t="s">
        <v>251</v>
      </c>
      <c r="B372">
        <v>2011</v>
      </c>
      <c r="C372">
        <v>2</v>
      </c>
      <c r="D372">
        <v>4</v>
      </c>
      <c r="E372">
        <v>45</v>
      </c>
      <c r="F372">
        <v>7.27</v>
      </c>
      <c r="G372">
        <v>1.98</v>
      </c>
      <c r="H372" t="s">
        <v>39</v>
      </c>
      <c r="I372" s="4">
        <f>igre_si[[#This Row],[Play Time]]/(SQRT(igre_si[[#This Row],[Min Players]]*igre_si[[#This Row],[Max Players]]))</f>
        <v>15.909902576697318</v>
      </c>
    </row>
    <row r="373" spans="1:9" x14ac:dyDescent="0.3">
      <c r="A373" t="s">
        <v>272</v>
      </c>
      <c r="B373">
        <v>2009</v>
      </c>
      <c r="C373">
        <v>1</v>
      </c>
      <c r="D373">
        <v>6</v>
      </c>
      <c r="E373">
        <v>120</v>
      </c>
      <c r="F373">
        <v>7.2</v>
      </c>
      <c r="G373">
        <v>2.16</v>
      </c>
      <c r="H373" t="s">
        <v>12</v>
      </c>
      <c r="I373" s="4">
        <f>igre_si[[#This Row],[Play Time]]/(SQRT(igre_si[[#This Row],[Min Players]]*igre_si[[#This Row],[Max Players]]))</f>
        <v>48.989794855663568</v>
      </c>
    </row>
    <row r="374" spans="1:9" x14ac:dyDescent="0.3">
      <c r="A374" t="s">
        <v>413</v>
      </c>
      <c r="B374">
        <v>2007</v>
      </c>
      <c r="C374">
        <v>2</v>
      </c>
      <c r="D374">
        <v>6</v>
      </c>
      <c r="E374">
        <v>90</v>
      </c>
      <c r="F374">
        <v>6.52</v>
      </c>
      <c r="G374">
        <v>2.19</v>
      </c>
      <c r="H374" t="s">
        <v>12</v>
      </c>
      <c r="I374" s="4">
        <f>igre_si[[#This Row],[Play Time]]/(SQRT(igre_si[[#This Row],[Min Players]]*igre_si[[#This Row],[Max Players]]))</f>
        <v>25.98076211353316</v>
      </c>
    </row>
    <row r="375" spans="1:9" x14ac:dyDescent="0.3">
      <c r="A375" t="s">
        <v>178</v>
      </c>
      <c r="B375">
        <v>2019</v>
      </c>
      <c r="C375">
        <v>1</v>
      </c>
      <c r="D375">
        <v>5</v>
      </c>
      <c r="E375">
        <v>120</v>
      </c>
      <c r="F375">
        <v>7.49</v>
      </c>
      <c r="G375">
        <v>2.88</v>
      </c>
      <c r="H375" t="s">
        <v>9</v>
      </c>
      <c r="I375" s="4">
        <f>igre_si[[#This Row],[Play Time]]/(SQRT(igre_si[[#This Row],[Min Players]]*igre_si[[#This Row],[Max Players]]))</f>
        <v>53.665631459994948</v>
      </c>
    </row>
    <row r="376" spans="1:9" x14ac:dyDescent="0.3">
      <c r="A376" t="s">
        <v>130</v>
      </c>
      <c r="B376">
        <v>2012</v>
      </c>
      <c r="C376">
        <v>2</v>
      </c>
      <c r="D376">
        <v>2</v>
      </c>
      <c r="E376">
        <v>60</v>
      </c>
      <c r="F376">
        <v>7.64</v>
      </c>
      <c r="G376">
        <v>2.35</v>
      </c>
      <c r="H376" t="s">
        <v>9</v>
      </c>
      <c r="I376" s="4">
        <f>igre_si[[#This Row],[Play Time]]/(SQRT(igre_si[[#This Row],[Min Players]]*igre_si[[#This Row],[Max Players]]))</f>
        <v>30</v>
      </c>
    </row>
    <row r="377" spans="1:9" x14ac:dyDescent="0.3">
      <c r="A377" t="s">
        <v>208</v>
      </c>
      <c r="B377">
        <v>2009</v>
      </c>
      <c r="C377">
        <v>4</v>
      </c>
      <c r="D377">
        <v>8</v>
      </c>
      <c r="E377">
        <v>30</v>
      </c>
      <c r="F377">
        <v>7.4</v>
      </c>
      <c r="G377">
        <v>1.08</v>
      </c>
      <c r="H377" t="s">
        <v>92</v>
      </c>
      <c r="I377" s="4">
        <f>igre_si[[#This Row],[Play Time]]/(SQRT(igre_si[[#This Row],[Min Players]]*igre_si[[#This Row],[Max Players]]))</f>
        <v>5.3033008588991057</v>
      </c>
    </row>
    <row r="378" spans="1:9" x14ac:dyDescent="0.3">
      <c r="A378" t="s">
        <v>59</v>
      </c>
      <c r="B378">
        <v>2018</v>
      </c>
      <c r="C378">
        <v>1</v>
      </c>
      <c r="D378">
        <v>4</v>
      </c>
      <c r="E378">
        <v>120</v>
      </c>
      <c r="F378">
        <v>7.95</v>
      </c>
      <c r="G378">
        <v>3.77</v>
      </c>
      <c r="H378" t="s">
        <v>9</v>
      </c>
      <c r="I378" s="4">
        <f>igre_si[[#This Row],[Play Time]]/(SQRT(igre_si[[#This Row],[Min Players]]*igre_si[[#This Row],[Max Players]]))</f>
        <v>60</v>
      </c>
    </row>
    <row r="379" spans="1:9" x14ac:dyDescent="0.3">
      <c r="A379" t="s">
        <v>33</v>
      </c>
      <c r="B379">
        <v>2012</v>
      </c>
      <c r="C379">
        <v>2</v>
      </c>
      <c r="D379">
        <v>5</v>
      </c>
      <c r="E379">
        <v>150</v>
      </c>
      <c r="F379">
        <v>8.14</v>
      </c>
      <c r="G379">
        <v>3.96</v>
      </c>
      <c r="H379" t="s">
        <v>9</v>
      </c>
      <c r="I379" s="4">
        <f>igre_si[[#This Row],[Play Time]]/(SQRT(igre_si[[#This Row],[Min Players]]*igre_si[[#This Row],[Max Players]]))</f>
        <v>47.434164902525687</v>
      </c>
    </row>
    <row r="380" spans="1:9" x14ac:dyDescent="0.3">
      <c r="A380" t="s">
        <v>16</v>
      </c>
      <c r="B380">
        <v>2016</v>
      </c>
      <c r="C380">
        <v>1</v>
      </c>
      <c r="D380">
        <v>5</v>
      </c>
      <c r="E380">
        <v>120</v>
      </c>
      <c r="F380">
        <v>8.43</v>
      </c>
      <c r="G380">
        <v>3.24</v>
      </c>
      <c r="H380" t="s">
        <v>9</v>
      </c>
      <c r="I380" s="4">
        <f>igre_si[[#This Row],[Play Time]]/(SQRT(igre_si[[#This Row],[Min Players]]*igre_si[[#This Row],[Max Players]]))</f>
        <v>53.665631459994948</v>
      </c>
    </row>
    <row r="381" spans="1:9" x14ac:dyDescent="0.3">
      <c r="A381" t="s">
        <v>372</v>
      </c>
      <c r="B381">
        <v>2013</v>
      </c>
      <c r="C381">
        <v>2</v>
      </c>
      <c r="D381">
        <v>4</v>
      </c>
      <c r="E381">
        <v>45</v>
      </c>
      <c r="F381">
        <v>6.86</v>
      </c>
      <c r="G381">
        <v>1.48</v>
      </c>
      <c r="H381" t="s">
        <v>39</v>
      </c>
      <c r="I381" s="4">
        <f>igre_si[[#This Row],[Play Time]]/(SQRT(igre_si[[#This Row],[Min Players]]*igre_si[[#This Row],[Max Players]]))</f>
        <v>15.909902576697318</v>
      </c>
    </row>
    <row r="382" spans="1:9" x14ac:dyDescent="0.3">
      <c r="A382" t="s">
        <v>127</v>
      </c>
      <c r="B382">
        <v>2018</v>
      </c>
      <c r="C382">
        <v>1</v>
      </c>
      <c r="D382">
        <v>4</v>
      </c>
      <c r="E382">
        <v>30</v>
      </c>
      <c r="F382">
        <v>7.64</v>
      </c>
      <c r="G382">
        <v>1.89</v>
      </c>
      <c r="H382" t="s">
        <v>39</v>
      </c>
      <c r="I382" s="4">
        <f>igre_si[[#This Row],[Play Time]]/(SQRT(igre_si[[#This Row],[Min Players]]*igre_si[[#This Row],[Max Players]]))</f>
        <v>15</v>
      </c>
    </row>
    <row r="383" spans="1:9" x14ac:dyDescent="0.3">
      <c r="A383" t="s">
        <v>31</v>
      </c>
      <c r="B383">
        <v>2017</v>
      </c>
      <c r="C383">
        <v>1</v>
      </c>
      <c r="D383">
        <v>4</v>
      </c>
      <c r="E383">
        <v>1000</v>
      </c>
      <c r="F383">
        <v>8.15</v>
      </c>
      <c r="G383">
        <v>2.87</v>
      </c>
      <c r="H383" t="s">
        <v>12</v>
      </c>
      <c r="I383" s="4">
        <f>igre_si[[#This Row],[Play Time]]/(SQRT(igre_si[[#This Row],[Min Players]]*igre_si[[#This Row],[Max Players]]))</f>
        <v>500</v>
      </c>
    </row>
    <row r="384" spans="1:9" x14ac:dyDescent="0.3">
      <c r="A384" t="s">
        <v>34</v>
      </c>
      <c r="B384">
        <v>2011</v>
      </c>
      <c r="C384">
        <v>2</v>
      </c>
      <c r="D384">
        <v>4</v>
      </c>
      <c r="E384">
        <v>90</v>
      </c>
      <c r="F384">
        <v>8.1300000000000008</v>
      </c>
      <c r="G384">
        <v>3</v>
      </c>
      <c r="H384" t="s">
        <v>9</v>
      </c>
      <c r="I384" s="4">
        <f>igre_si[[#This Row],[Play Time]]/(SQRT(igre_si[[#This Row],[Min Players]]*igre_si[[#This Row],[Max Players]]))</f>
        <v>31.819805153394636</v>
      </c>
    </row>
    <row r="385" spans="1:9" x14ac:dyDescent="0.3">
      <c r="A385" t="s">
        <v>258</v>
      </c>
      <c r="B385">
        <v>2017</v>
      </c>
      <c r="C385">
        <v>2</v>
      </c>
      <c r="D385">
        <v>2</v>
      </c>
      <c r="E385">
        <v>30</v>
      </c>
      <c r="F385">
        <v>7.25</v>
      </c>
      <c r="G385">
        <v>1.59</v>
      </c>
      <c r="H385" t="s">
        <v>39</v>
      </c>
      <c r="I385" s="4">
        <f>igre_si[[#This Row],[Play Time]]/(SQRT(igre_si[[#This Row],[Min Players]]*igre_si[[#This Row],[Max Players]]))</f>
        <v>15</v>
      </c>
    </row>
    <row r="386" spans="1:9" x14ac:dyDescent="0.3">
      <c r="A386" t="s">
        <v>51</v>
      </c>
      <c r="B386">
        <v>2015</v>
      </c>
      <c r="C386">
        <v>1</v>
      </c>
      <c r="D386">
        <v>4</v>
      </c>
      <c r="E386">
        <v>150</v>
      </c>
      <c r="F386">
        <v>8.0399999999999991</v>
      </c>
      <c r="G386">
        <v>4.28</v>
      </c>
      <c r="H386" t="s">
        <v>9</v>
      </c>
      <c r="I386" s="4">
        <f>igre_si[[#This Row],[Play Time]]/(SQRT(igre_si[[#This Row],[Min Players]]*igre_si[[#This Row],[Max Players]]))</f>
        <v>75</v>
      </c>
    </row>
    <row r="387" spans="1:9" x14ac:dyDescent="0.3">
      <c r="A387" t="s">
        <v>391</v>
      </c>
      <c r="B387">
        <v>2015</v>
      </c>
      <c r="C387">
        <v>1</v>
      </c>
      <c r="D387">
        <v>5</v>
      </c>
      <c r="E387">
        <v>20</v>
      </c>
      <c r="F387">
        <v>6.71</v>
      </c>
      <c r="G387">
        <v>1.26</v>
      </c>
      <c r="H387" t="s">
        <v>39</v>
      </c>
      <c r="I387" s="4">
        <f>igre_si[[#This Row],[Play Time]]/(SQRT(igre_si[[#This Row],[Min Players]]*igre_si[[#This Row],[Max Players]]))</f>
        <v>8.9442719099991592</v>
      </c>
    </row>
    <row r="388" spans="1:9" x14ac:dyDescent="0.3">
      <c r="A388" t="s">
        <v>466</v>
      </c>
      <c r="B388">
        <v>1960</v>
      </c>
      <c r="C388">
        <v>2</v>
      </c>
      <c r="D388">
        <v>6</v>
      </c>
      <c r="E388">
        <v>60</v>
      </c>
      <c r="F388">
        <v>4.3</v>
      </c>
      <c r="G388">
        <v>1.18</v>
      </c>
      <c r="H388" t="s">
        <v>39</v>
      </c>
      <c r="I388" s="4">
        <f>igre_si[[#This Row],[Play Time]]/(SQRT(igre_si[[#This Row],[Min Players]]*igre_si[[#This Row],[Max Players]]))</f>
        <v>17.320508075688775</v>
      </c>
    </row>
    <row r="389" spans="1:9" x14ac:dyDescent="0.3">
      <c r="A389" t="s">
        <v>407</v>
      </c>
      <c r="B389">
        <v>1995</v>
      </c>
      <c r="C389">
        <v>4</v>
      </c>
      <c r="D389">
        <v>8</v>
      </c>
      <c r="E389">
        <v>60</v>
      </c>
      <c r="F389">
        <v>6.56</v>
      </c>
      <c r="G389">
        <v>1.29</v>
      </c>
      <c r="H389" t="s">
        <v>92</v>
      </c>
      <c r="I389" s="4">
        <f>igre_si[[#This Row],[Play Time]]/(SQRT(igre_si[[#This Row],[Min Players]]*igre_si[[#This Row],[Max Players]]))</f>
        <v>10.606601717798211</v>
      </c>
    </row>
    <row r="390" spans="1:9" x14ac:dyDescent="0.3">
      <c r="A390" t="s">
        <v>274</v>
      </c>
      <c r="B390">
        <v>2015</v>
      </c>
      <c r="C390">
        <v>2</v>
      </c>
      <c r="D390">
        <v>5</v>
      </c>
      <c r="E390">
        <v>30</v>
      </c>
      <c r="F390">
        <v>7.2</v>
      </c>
      <c r="G390">
        <v>1.94</v>
      </c>
      <c r="H390" t="s">
        <v>12</v>
      </c>
      <c r="I390" s="4">
        <f>igre_si[[#This Row],[Play Time]]/(SQRT(igre_si[[#This Row],[Min Players]]*igre_si[[#This Row],[Max Players]]))</f>
        <v>9.4868329805051381</v>
      </c>
    </row>
    <row r="391" spans="1:9" x14ac:dyDescent="0.3">
      <c r="A391" t="s">
        <v>50</v>
      </c>
      <c r="B391">
        <v>2019</v>
      </c>
      <c r="C391">
        <v>1</v>
      </c>
      <c r="D391">
        <v>4</v>
      </c>
      <c r="E391">
        <v>90</v>
      </c>
      <c r="F391">
        <v>8.0399999999999991</v>
      </c>
      <c r="G391">
        <v>2.3199999999999998</v>
      </c>
      <c r="H391" t="s">
        <v>39</v>
      </c>
      <c r="I391" s="4">
        <f>igre_si[[#This Row],[Play Time]]/(SQRT(igre_si[[#This Row],[Min Players]]*igre_si[[#This Row],[Max Players]]))</f>
        <v>45</v>
      </c>
    </row>
    <row r="392" spans="1:9" x14ac:dyDescent="0.3">
      <c r="A392" t="s">
        <v>384</v>
      </c>
      <c r="B392">
        <v>2000</v>
      </c>
      <c r="C392">
        <v>2</v>
      </c>
      <c r="D392">
        <v>5</v>
      </c>
      <c r="E392">
        <v>90</v>
      </c>
      <c r="F392">
        <v>6.75</v>
      </c>
      <c r="G392">
        <v>2.56</v>
      </c>
      <c r="H392" t="s">
        <v>12</v>
      </c>
      <c r="I392" s="4">
        <f>igre_si[[#This Row],[Play Time]]/(SQRT(igre_si[[#This Row],[Min Players]]*igre_si[[#This Row],[Max Players]]))</f>
        <v>28.460498941515411</v>
      </c>
    </row>
    <row r="393" spans="1:9" x14ac:dyDescent="0.3">
      <c r="A393" t="s">
        <v>218</v>
      </c>
      <c r="B393">
        <v>2012</v>
      </c>
      <c r="C393">
        <v>2</v>
      </c>
      <c r="D393">
        <v>5</v>
      </c>
      <c r="E393">
        <v>120</v>
      </c>
      <c r="F393">
        <v>7.36</v>
      </c>
      <c r="G393">
        <v>2.96</v>
      </c>
      <c r="H393" t="s">
        <v>9</v>
      </c>
      <c r="I393" s="4">
        <f>igre_si[[#This Row],[Play Time]]/(SQRT(igre_si[[#This Row],[Min Players]]*igre_si[[#This Row],[Max Players]]))</f>
        <v>37.947331922020552</v>
      </c>
    </row>
    <row r="394" spans="1:9" x14ac:dyDescent="0.3">
      <c r="A394" t="s">
        <v>364</v>
      </c>
      <c r="B394">
        <v>2018</v>
      </c>
      <c r="C394">
        <v>2</v>
      </c>
      <c r="D394">
        <v>4</v>
      </c>
      <c r="E394">
        <v>15</v>
      </c>
      <c r="F394">
        <v>6.91</v>
      </c>
      <c r="G394">
        <v>1.08</v>
      </c>
      <c r="H394" t="s">
        <v>39</v>
      </c>
      <c r="I394" s="4">
        <f>igre_si[[#This Row],[Play Time]]/(SQRT(igre_si[[#This Row],[Min Players]]*igre_si[[#This Row],[Max Players]]))</f>
        <v>5.3033008588991057</v>
      </c>
    </row>
    <row r="395" spans="1:9" x14ac:dyDescent="0.3">
      <c r="A395" t="s">
        <v>242</v>
      </c>
      <c r="B395">
        <v>2006</v>
      </c>
      <c r="C395">
        <v>2</v>
      </c>
      <c r="D395">
        <v>4</v>
      </c>
      <c r="E395">
        <v>120</v>
      </c>
      <c r="F395">
        <v>7.29</v>
      </c>
      <c r="G395">
        <v>2.82</v>
      </c>
      <c r="H395" t="s">
        <v>9</v>
      </c>
      <c r="I395" s="4">
        <f>igre_si[[#This Row],[Play Time]]/(SQRT(igre_si[[#This Row],[Min Players]]*igre_si[[#This Row],[Max Players]]))</f>
        <v>42.426406871192846</v>
      </c>
    </row>
    <row r="396" spans="1:9" x14ac:dyDescent="0.3">
      <c r="A396" t="s">
        <v>164</v>
      </c>
      <c r="B396">
        <v>2000</v>
      </c>
      <c r="C396">
        <v>2</v>
      </c>
      <c r="D396">
        <v>5</v>
      </c>
      <c r="E396">
        <v>100</v>
      </c>
      <c r="F396">
        <v>7.53</v>
      </c>
      <c r="G396">
        <v>3.25</v>
      </c>
      <c r="H396" t="s">
        <v>9</v>
      </c>
      <c r="I396" s="4">
        <f>igre_si[[#This Row],[Play Time]]/(SQRT(igre_si[[#This Row],[Min Players]]*igre_si[[#This Row],[Max Players]]))</f>
        <v>31.622776601683793</v>
      </c>
    </row>
    <row r="397" spans="1:9" x14ac:dyDescent="0.3">
      <c r="A397" t="s">
        <v>83</v>
      </c>
      <c r="B397">
        <v>2018</v>
      </c>
      <c r="C397">
        <v>2</v>
      </c>
      <c r="D397">
        <v>4</v>
      </c>
      <c r="E397">
        <v>45</v>
      </c>
      <c r="F397">
        <v>7.82</v>
      </c>
      <c r="G397">
        <v>1.94</v>
      </c>
      <c r="H397" t="s">
        <v>39</v>
      </c>
      <c r="I397" s="4">
        <f>igre_si[[#This Row],[Play Time]]/(SQRT(igre_si[[#This Row],[Min Players]]*igre_si[[#This Row],[Max Players]]))</f>
        <v>15.909902576697318</v>
      </c>
    </row>
    <row r="398" spans="1:9" x14ac:dyDescent="0.3">
      <c r="A398" t="s">
        <v>137</v>
      </c>
      <c r="B398">
        <v>2017</v>
      </c>
      <c r="C398">
        <v>2</v>
      </c>
      <c r="D398">
        <v>4</v>
      </c>
      <c r="E398">
        <v>60</v>
      </c>
      <c r="F398">
        <v>7.61</v>
      </c>
      <c r="G398">
        <v>1.93</v>
      </c>
      <c r="H398" t="s">
        <v>39</v>
      </c>
      <c r="I398" s="4">
        <f>igre_si[[#This Row],[Play Time]]/(SQRT(igre_si[[#This Row],[Min Players]]*igre_si[[#This Row],[Max Players]]))</f>
        <v>21.213203435596423</v>
      </c>
    </row>
    <row r="399" spans="1:9" x14ac:dyDescent="0.3">
      <c r="A399" t="s">
        <v>406</v>
      </c>
      <c r="B399">
        <v>2007</v>
      </c>
      <c r="C399">
        <v>2</v>
      </c>
      <c r="D399">
        <v>4</v>
      </c>
      <c r="E399">
        <v>45</v>
      </c>
      <c r="F399">
        <v>6.56</v>
      </c>
      <c r="G399">
        <v>1.66</v>
      </c>
      <c r="H399" t="s">
        <v>92</v>
      </c>
      <c r="I399" s="4">
        <f>igre_si[[#This Row],[Play Time]]/(SQRT(igre_si[[#This Row],[Min Players]]*igre_si[[#This Row],[Max Players]]))</f>
        <v>15.909902576697318</v>
      </c>
    </row>
    <row r="400" spans="1:9" x14ac:dyDescent="0.3">
      <c r="A400" t="s">
        <v>248</v>
      </c>
      <c r="B400">
        <v>2009</v>
      </c>
      <c r="C400">
        <v>5</v>
      </c>
      <c r="D400">
        <v>10</v>
      </c>
      <c r="E400">
        <v>30</v>
      </c>
      <c r="F400">
        <v>7.28</v>
      </c>
      <c r="G400">
        <v>1.61</v>
      </c>
      <c r="H400" t="s">
        <v>92</v>
      </c>
      <c r="I400" s="4">
        <f>igre_si[[#This Row],[Play Time]]/(SQRT(igre_si[[#This Row],[Min Players]]*igre_si[[#This Row],[Max Players]]))</f>
        <v>4.2426406871192848</v>
      </c>
    </row>
    <row r="401" spans="1:9" x14ac:dyDescent="0.3">
      <c r="A401" t="s">
        <v>144</v>
      </c>
      <c r="B401">
        <v>2012</v>
      </c>
      <c r="C401">
        <v>5</v>
      </c>
      <c r="D401">
        <v>10</v>
      </c>
      <c r="E401">
        <v>30</v>
      </c>
      <c r="F401">
        <v>7.58</v>
      </c>
      <c r="G401">
        <v>1.77</v>
      </c>
      <c r="H401" t="s">
        <v>92</v>
      </c>
      <c r="I401" s="4">
        <f>igre_si[[#This Row],[Play Time]]/(SQRT(igre_si[[#This Row],[Min Players]]*igre_si[[#This Row],[Max Players]]))</f>
        <v>4.2426406871192848</v>
      </c>
    </row>
    <row r="402" spans="1:9" x14ac:dyDescent="0.3">
      <c r="A402" t="s">
        <v>132</v>
      </c>
      <c r="B402">
        <v>2019</v>
      </c>
      <c r="C402">
        <v>2</v>
      </c>
      <c r="D402">
        <v>4</v>
      </c>
      <c r="E402">
        <v>60</v>
      </c>
      <c r="F402">
        <v>7.63</v>
      </c>
      <c r="G402">
        <v>2.66</v>
      </c>
      <c r="H402" t="s">
        <v>9</v>
      </c>
      <c r="I402" s="4">
        <f>igre_si[[#This Row],[Play Time]]/(SQRT(igre_si[[#This Row],[Min Players]]*igre_si[[#This Row],[Max Players]]))</f>
        <v>21.213203435596423</v>
      </c>
    </row>
    <row r="403" spans="1:9" x14ac:dyDescent="0.3">
      <c r="A403" t="s">
        <v>69</v>
      </c>
      <c r="B403">
        <v>2015</v>
      </c>
      <c r="C403">
        <v>2</v>
      </c>
      <c r="D403">
        <v>4</v>
      </c>
      <c r="E403">
        <v>100</v>
      </c>
      <c r="F403">
        <v>7.87</v>
      </c>
      <c r="G403">
        <v>3.19</v>
      </c>
      <c r="H403" t="s">
        <v>9</v>
      </c>
      <c r="I403" s="4">
        <f>igre_si[[#This Row],[Play Time]]/(SQRT(igre_si[[#This Row],[Min Players]]*igre_si[[#This Row],[Max Players]]))</f>
        <v>35.35533905932737</v>
      </c>
    </row>
    <row r="404" spans="1:9" x14ac:dyDescent="0.3">
      <c r="A404" t="s">
        <v>296</v>
      </c>
      <c r="B404">
        <v>2007</v>
      </c>
      <c r="C404">
        <v>2</v>
      </c>
      <c r="D404">
        <v>4</v>
      </c>
      <c r="E404">
        <v>60</v>
      </c>
      <c r="F404">
        <v>7.14</v>
      </c>
      <c r="G404">
        <v>2.16</v>
      </c>
      <c r="H404" t="s">
        <v>39</v>
      </c>
      <c r="I404" s="4">
        <f>igre_si[[#This Row],[Play Time]]/(SQRT(igre_si[[#This Row],[Min Players]]*igre_si[[#This Row],[Max Players]]))</f>
        <v>21.213203435596423</v>
      </c>
    </row>
    <row r="405" spans="1:9" x14ac:dyDescent="0.3">
      <c r="A405" t="s">
        <v>313</v>
      </c>
      <c r="B405">
        <v>1998</v>
      </c>
      <c r="C405">
        <v>2</v>
      </c>
      <c r="D405">
        <v>5</v>
      </c>
      <c r="E405">
        <v>45</v>
      </c>
      <c r="F405">
        <v>7.07</v>
      </c>
      <c r="G405">
        <v>2.21</v>
      </c>
      <c r="H405" t="s">
        <v>81</v>
      </c>
      <c r="I405" s="4">
        <f>igre_si[[#This Row],[Play Time]]/(SQRT(igre_si[[#This Row],[Min Players]]*igre_si[[#This Row],[Max Players]]))</f>
        <v>14.230249470757705</v>
      </c>
    </row>
    <row r="406" spans="1:9" x14ac:dyDescent="0.3">
      <c r="A406" t="s">
        <v>356</v>
      </c>
      <c r="B406">
        <v>2009</v>
      </c>
      <c r="C406">
        <v>1</v>
      </c>
      <c r="D406">
        <v>5</v>
      </c>
      <c r="E406">
        <v>60</v>
      </c>
      <c r="F406">
        <v>6.94</v>
      </c>
      <c r="G406">
        <v>2.5</v>
      </c>
      <c r="H406" t="s">
        <v>9</v>
      </c>
      <c r="I406" s="4">
        <f>igre_si[[#This Row],[Play Time]]/(SQRT(igre_si[[#This Row],[Min Players]]*igre_si[[#This Row],[Max Players]]))</f>
        <v>26.832815729997474</v>
      </c>
    </row>
    <row r="407" spans="1:9" x14ac:dyDescent="0.3">
      <c r="A407" t="s">
        <v>307</v>
      </c>
      <c r="B407">
        <v>2006</v>
      </c>
      <c r="C407">
        <v>2</v>
      </c>
      <c r="D407">
        <v>4</v>
      </c>
      <c r="E407">
        <v>60</v>
      </c>
      <c r="F407">
        <v>7.1</v>
      </c>
      <c r="G407">
        <v>2.2599999999999998</v>
      </c>
      <c r="H407" t="s">
        <v>39</v>
      </c>
      <c r="I407" s="4">
        <f>igre_si[[#This Row],[Play Time]]/(SQRT(igre_si[[#This Row],[Min Players]]*igre_si[[#This Row],[Max Players]]))</f>
        <v>21.213203435596423</v>
      </c>
    </row>
    <row r="408" spans="1:9" x14ac:dyDescent="0.3">
      <c r="A408" t="s">
        <v>147</v>
      </c>
      <c r="B408">
        <v>1991</v>
      </c>
      <c r="C408">
        <v>4</v>
      </c>
      <c r="D408">
        <v>4</v>
      </c>
      <c r="E408">
        <v>60</v>
      </c>
      <c r="F408">
        <v>7.58</v>
      </c>
      <c r="G408">
        <v>2.34</v>
      </c>
      <c r="H408" t="s">
        <v>9</v>
      </c>
      <c r="I408" s="4">
        <f>igre_si[[#This Row],[Play Time]]/(SQRT(igre_si[[#This Row],[Min Players]]*igre_si[[#This Row],[Max Players]]))</f>
        <v>15</v>
      </c>
    </row>
    <row r="409" spans="1:9" x14ac:dyDescent="0.3">
      <c r="A409" t="s">
        <v>195</v>
      </c>
      <c r="B409">
        <v>2004</v>
      </c>
      <c r="C409">
        <v>2</v>
      </c>
      <c r="D409">
        <v>5</v>
      </c>
      <c r="E409">
        <v>60</v>
      </c>
      <c r="F409">
        <v>7.42</v>
      </c>
      <c r="G409">
        <v>1.85</v>
      </c>
      <c r="H409" t="s">
        <v>39</v>
      </c>
      <c r="I409" s="4">
        <f>igre_si[[#This Row],[Play Time]]/(SQRT(igre_si[[#This Row],[Min Players]]*igre_si[[#This Row],[Max Players]]))</f>
        <v>18.973665961010276</v>
      </c>
    </row>
    <row r="410" spans="1:9" x14ac:dyDescent="0.3">
      <c r="A410" t="s">
        <v>158</v>
      </c>
      <c r="B410">
        <v>2005</v>
      </c>
      <c r="C410">
        <v>2</v>
      </c>
      <c r="D410">
        <v>5</v>
      </c>
      <c r="E410">
        <v>60</v>
      </c>
      <c r="F410">
        <v>7.55</v>
      </c>
      <c r="G410">
        <v>1.94</v>
      </c>
      <c r="H410" t="s">
        <v>39</v>
      </c>
      <c r="I410" s="4">
        <f>igre_si[[#This Row],[Play Time]]/(SQRT(igre_si[[#This Row],[Min Players]]*igre_si[[#This Row],[Max Players]]))</f>
        <v>18.973665961010276</v>
      </c>
    </row>
    <row r="411" spans="1:9" x14ac:dyDescent="0.3">
      <c r="A411" t="s">
        <v>199</v>
      </c>
      <c r="B411">
        <v>2006</v>
      </c>
      <c r="C411">
        <v>2</v>
      </c>
      <c r="D411">
        <v>5</v>
      </c>
      <c r="E411">
        <v>60</v>
      </c>
      <c r="F411">
        <v>7.41</v>
      </c>
      <c r="G411">
        <v>2.2400000000000002</v>
      </c>
      <c r="H411" t="s">
        <v>39</v>
      </c>
      <c r="I411" s="4">
        <f>igre_si[[#This Row],[Play Time]]/(SQRT(igre_si[[#This Row],[Min Players]]*igre_si[[#This Row],[Max Players]]))</f>
        <v>18.973665961010276</v>
      </c>
    </row>
    <row r="412" spans="1:9" x14ac:dyDescent="0.3">
      <c r="A412" t="s">
        <v>396</v>
      </c>
      <c r="B412">
        <v>2015</v>
      </c>
      <c r="C412">
        <v>2</v>
      </c>
      <c r="D412">
        <v>2</v>
      </c>
      <c r="E412">
        <v>20</v>
      </c>
      <c r="F412">
        <v>6.66</v>
      </c>
      <c r="G412">
        <v>1.58</v>
      </c>
      <c r="H412" t="s">
        <v>9</v>
      </c>
      <c r="I412" s="4">
        <f>igre_si[[#This Row],[Play Time]]/(SQRT(igre_si[[#This Row],[Min Players]]*igre_si[[#This Row],[Max Players]]))</f>
        <v>10</v>
      </c>
    </row>
    <row r="413" spans="1:9" x14ac:dyDescent="0.3">
      <c r="A413" t="s">
        <v>115</v>
      </c>
      <c r="B413">
        <v>1997</v>
      </c>
      <c r="C413">
        <v>2</v>
      </c>
      <c r="D413">
        <v>4</v>
      </c>
      <c r="E413">
        <v>90</v>
      </c>
      <c r="F413">
        <v>7.7</v>
      </c>
      <c r="G413">
        <v>3.51</v>
      </c>
      <c r="H413" t="s">
        <v>9</v>
      </c>
      <c r="I413" s="4">
        <f>igre_si[[#This Row],[Play Time]]/(SQRT(igre_si[[#This Row],[Min Players]]*igre_si[[#This Row],[Max Players]]))</f>
        <v>31.819805153394636</v>
      </c>
    </row>
    <row r="414" spans="1:9" x14ac:dyDescent="0.3">
      <c r="A414" t="s">
        <v>226</v>
      </c>
      <c r="B414">
        <v>1999</v>
      </c>
      <c r="C414">
        <v>2</v>
      </c>
      <c r="D414">
        <v>4</v>
      </c>
      <c r="E414">
        <v>90</v>
      </c>
      <c r="F414">
        <v>7.34</v>
      </c>
      <c r="G414">
        <v>2.8</v>
      </c>
      <c r="H414" t="s">
        <v>9</v>
      </c>
      <c r="I414" s="4">
        <f>igre_si[[#This Row],[Play Time]]/(SQRT(igre_si[[#This Row],[Min Players]]*igre_si[[#This Row],[Max Players]]))</f>
        <v>31.819805153394636</v>
      </c>
    </row>
    <row r="415" spans="1:9" x14ac:dyDescent="0.3">
      <c r="A415" t="s">
        <v>388</v>
      </c>
      <c r="B415">
        <v>2010</v>
      </c>
      <c r="C415">
        <v>2</v>
      </c>
      <c r="D415">
        <v>8</v>
      </c>
      <c r="E415">
        <v>15</v>
      </c>
      <c r="F415">
        <v>6.71</v>
      </c>
      <c r="G415">
        <v>1.1100000000000001</v>
      </c>
      <c r="H415" t="s">
        <v>39</v>
      </c>
      <c r="I415" s="4">
        <f>igre_si[[#This Row],[Play Time]]/(SQRT(igre_si[[#This Row],[Min Players]]*igre_si[[#This Row],[Max Players]]))</f>
        <v>3.75</v>
      </c>
    </row>
    <row r="416" spans="1:9" x14ac:dyDescent="0.3">
      <c r="A416" t="s">
        <v>217</v>
      </c>
      <c r="B416">
        <v>2015</v>
      </c>
      <c r="C416">
        <v>1</v>
      </c>
      <c r="D416">
        <v>5</v>
      </c>
      <c r="E416">
        <v>45</v>
      </c>
      <c r="F416">
        <v>7.37</v>
      </c>
      <c r="G416">
        <v>2.16</v>
      </c>
      <c r="H416" t="s">
        <v>9</v>
      </c>
      <c r="I416" s="4">
        <f>igre_si[[#This Row],[Play Time]]/(SQRT(igre_si[[#This Row],[Min Players]]*igre_si[[#This Row],[Max Players]]))</f>
        <v>20.124611797498105</v>
      </c>
    </row>
    <row r="417" spans="1:9" x14ac:dyDescent="0.3">
      <c r="A417" t="s">
        <v>403</v>
      </c>
      <c r="B417">
        <v>2014</v>
      </c>
      <c r="C417">
        <v>2</v>
      </c>
      <c r="D417">
        <v>5</v>
      </c>
      <c r="E417">
        <v>45</v>
      </c>
      <c r="F417">
        <v>6.6</v>
      </c>
      <c r="G417">
        <v>2.09</v>
      </c>
      <c r="H417" t="s">
        <v>9</v>
      </c>
      <c r="I417" s="4">
        <f>igre_si[[#This Row],[Play Time]]/(SQRT(igre_si[[#This Row],[Min Players]]*igre_si[[#This Row],[Max Players]]))</f>
        <v>14.230249470757705</v>
      </c>
    </row>
    <row r="418" spans="1:9" x14ac:dyDescent="0.3">
      <c r="A418" t="s">
        <v>318</v>
      </c>
      <c r="B418">
        <v>2017</v>
      </c>
      <c r="C418">
        <v>1</v>
      </c>
      <c r="D418">
        <v>4</v>
      </c>
      <c r="E418">
        <v>60</v>
      </c>
      <c r="F418">
        <v>7.06</v>
      </c>
      <c r="G418">
        <v>2.66</v>
      </c>
      <c r="H418" t="s">
        <v>9</v>
      </c>
      <c r="I418" s="4">
        <f>igre_si[[#This Row],[Play Time]]/(SQRT(igre_si[[#This Row],[Min Players]]*igre_si[[#This Row],[Max Players]]))</f>
        <v>30</v>
      </c>
    </row>
    <row r="419" spans="1:9" x14ac:dyDescent="0.3">
      <c r="A419" t="s">
        <v>394</v>
      </c>
      <c r="B419">
        <v>2016</v>
      </c>
      <c r="C419">
        <v>1</v>
      </c>
      <c r="D419">
        <v>4</v>
      </c>
      <c r="E419">
        <v>45</v>
      </c>
      <c r="F419">
        <v>6.68</v>
      </c>
      <c r="G419">
        <v>2.87</v>
      </c>
      <c r="H419" t="s">
        <v>9</v>
      </c>
      <c r="I419" s="4">
        <f>igre_si[[#This Row],[Play Time]]/(SQRT(igre_si[[#This Row],[Min Players]]*igre_si[[#This Row],[Max Players]]))</f>
        <v>22.5</v>
      </c>
    </row>
    <row r="420" spans="1:9" x14ac:dyDescent="0.3">
      <c r="A420" t="s">
        <v>334</v>
      </c>
      <c r="B420">
        <v>2018</v>
      </c>
      <c r="C420">
        <v>1</v>
      </c>
      <c r="D420">
        <v>5</v>
      </c>
      <c r="E420">
        <v>45</v>
      </c>
      <c r="F420">
        <v>7.03</v>
      </c>
      <c r="G420">
        <v>2.4300000000000002</v>
      </c>
      <c r="H420" t="s">
        <v>12</v>
      </c>
      <c r="I420" s="4">
        <f>igre_si[[#This Row],[Play Time]]/(SQRT(igre_si[[#This Row],[Min Players]]*igre_si[[#This Row],[Max Players]]))</f>
        <v>20.124611797498105</v>
      </c>
    </row>
    <row r="421" spans="1:9" x14ac:dyDescent="0.3">
      <c r="A421" t="s">
        <v>220</v>
      </c>
      <c r="B421">
        <v>2019</v>
      </c>
      <c r="C421">
        <v>1</v>
      </c>
      <c r="D421">
        <v>6</v>
      </c>
      <c r="E421">
        <v>60</v>
      </c>
      <c r="F421">
        <v>7.36</v>
      </c>
      <c r="G421">
        <v>2.08</v>
      </c>
      <c r="H421" t="s">
        <v>39</v>
      </c>
      <c r="I421" s="4">
        <f>igre_si[[#This Row],[Play Time]]/(SQRT(igre_si[[#This Row],[Min Players]]*igre_si[[#This Row],[Max Players]]))</f>
        <v>24.494897427831784</v>
      </c>
    </row>
    <row r="422" spans="1:9" x14ac:dyDescent="0.3">
      <c r="A422" t="s">
        <v>305</v>
      </c>
      <c r="B422">
        <v>2009</v>
      </c>
      <c r="C422">
        <v>2</v>
      </c>
      <c r="D422">
        <v>4</v>
      </c>
      <c r="E422">
        <v>60</v>
      </c>
      <c r="F422">
        <v>7.11</v>
      </c>
      <c r="G422">
        <v>2.12</v>
      </c>
      <c r="H422" t="s">
        <v>39</v>
      </c>
      <c r="I422" s="4">
        <f>igre_si[[#This Row],[Play Time]]/(SQRT(igre_si[[#This Row],[Min Players]]*igre_si[[#This Row],[Max Players]]))</f>
        <v>21.213203435596423</v>
      </c>
    </row>
    <row r="423" spans="1:9" x14ac:dyDescent="0.3">
      <c r="A423" t="s">
        <v>344</v>
      </c>
      <c r="B423">
        <v>2012</v>
      </c>
      <c r="C423">
        <v>2</v>
      </c>
      <c r="D423">
        <v>5</v>
      </c>
      <c r="E423">
        <v>45</v>
      </c>
      <c r="F423">
        <v>6.99</v>
      </c>
      <c r="G423">
        <v>1.75</v>
      </c>
      <c r="H423" t="s">
        <v>39</v>
      </c>
      <c r="I423" s="4">
        <f>igre_si[[#This Row],[Play Time]]/(SQRT(igre_si[[#This Row],[Min Players]]*igre_si[[#This Row],[Max Players]]))</f>
        <v>14.230249470757705</v>
      </c>
    </row>
    <row r="424" spans="1:9" x14ac:dyDescent="0.3">
      <c r="A424" t="s">
        <v>304</v>
      </c>
      <c r="B424">
        <v>1999</v>
      </c>
      <c r="C424">
        <v>2</v>
      </c>
      <c r="D424">
        <v>4</v>
      </c>
      <c r="E424">
        <v>60</v>
      </c>
      <c r="F424">
        <v>7.12</v>
      </c>
      <c r="G424">
        <v>2.87</v>
      </c>
      <c r="H424" t="s">
        <v>81</v>
      </c>
      <c r="I424" s="4">
        <f>igre_si[[#This Row],[Play Time]]/(SQRT(igre_si[[#This Row],[Min Players]]*igre_si[[#This Row],[Max Players]]))</f>
        <v>21.213203435596423</v>
      </c>
    </row>
    <row r="425" spans="1:9" x14ac:dyDescent="0.3">
      <c r="A425" t="s">
        <v>102</v>
      </c>
      <c r="B425">
        <v>2011</v>
      </c>
      <c r="C425">
        <v>2</v>
      </c>
      <c r="D425">
        <v>4</v>
      </c>
      <c r="E425">
        <v>120</v>
      </c>
      <c r="F425">
        <v>7.76</v>
      </c>
      <c r="G425">
        <v>3.65</v>
      </c>
      <c r="H425" t="s">
        <v>9</v>
      </c>
      <c r="I425" s="4">
        <f>igre_si[[#This Row],[Play Time]]/(SQRT(igre_si[[#This Row],[Min Players]]*igre_si[[#This Row],[Max Players]]))</f>
        <v>42.426406871192846</v>
      </c>
    </row>
    <row r="426" spans="1:9" x14ac:dyDescent="0.3">
      <c r="A426" t="s">
        <v>103</v>
      </c>
      <c r="B426">
        <v>2010</v>
      </c>
      <c r="C426">
        <v>2</v>
      </c>
      <c r="D426">
        <v>4</v>
      </c>
      <c r="E426">
        <v>90</v>
      </c>
      <c r="F426">
        <v>7.76</v>
      </c>
      <c r="G426">
        <v>3.46</v>
      </c>
      <c r="H426" t="s">
        <v>9</v>
      </c>
      <c r="I426" s="4">
        <f>igre_si[[#This Row],[Play Time]]/(SQRT(igre_si[[#This Row],[Min Players]]*igre_si[[#This Row],[Max Players]]))</f>
        <v>31.819805153394636</v>
      </c>
    </row>
    <row r="427" spans="1:9" x14ac:dyDescent="0.3">
      <c r="A427" t="s">
        <v>395</v>
      </c>
      <c r="B427">
        <v>2004</v>
      </c>
      <c r="C427">
        <v>2</v>
      </c>
      <c r="D427">
        <v>8</v>
      </c>
      <c r="E427">
        <v>20</v>
      </c>
      <c r="F427">
        <v>6.67</v>
      </c>
      <c r="G427">
        <v>1.24</v>
      </c>
      <c r="H427" t="s">
        <v>81</v>
      </c>
      <c r="I427" s="4">
        <f>igre_si[[#This Row],[Play Time]]/(SQRT(igre_si[[#This Row],[Min Players]]*igre_si[[#This Row],[Max Players]]))</f>
        <v>5</v>
      </c>
    </row>
    <row r="428" spans="1:9" x14ac:dyDescent="0.3">
      <c r="A428" t="s">
        <v>410</v>
      </c>
      <c r="B428">
        <v>2012</v>
      </c>
      <c r="C428">
        <v>2</v>
      </c>
      <c r="D428">
        <v>8</v>
      </c>
      <c r="E428">
        <v>40</v>
      </c>
      <c r="F428">
        <v>6.55</v>
      </c>
      <c r="G428">
        <v>1.42</v>
      </c>
      <c r="H428" t="s">
        <v>81</v>
      </c>
      <c r="I428" s="4">
        <f>igre_si[[#This Row],[Play Time]]/(SQRT(igre_si[[#This Row],[Min Players]]*igre_si[[#This Row],[Max Players]]))</f>
        <v>10</v>
      </c>
    </row>
    <row r="429" spans="1:9" x14ac:dyDescent="0.3">
      <c r="A429" t="s">
        <v>22</v>
      </c>
      <c r="B429">
        <v>2005</v>
      </c>
      <c r="C429">
        <v>2</v>
      </c>
      <c r="D429">
        <v>2</v>
      </c>
      <c r="E429">
        <v>180</v>
      </c>
      <c r="F429">
        <v>8.2899999999999991</v>
      </c>
      <c r="G429">
        <v>3.59</v>
      </c>
      <c r="H429" t="s">
        <v>9</v>
      </c>
      <c r="I429" s="4">
        <f>igre_si[[#This Row],[Play Time]]/(SQRT(igre_si[[#This Row],[Min Players]]*igre_si[[#This Row],[Max Players]]))</f>
        <v>90</v>
      </c>
    </row>
    <row r="430" spans="1:9" x14ac:dyDescent="0.3">
      <c r="A430" t="s">
        <v>63</v>
      </c>
      <c r="B430">
        <v>2012</v>
      </c>
      <c r="C430">
        <v>2</v>
      </c>
      <c r="D430">
        <v>4</v>
      </c>
      <c r="E430">
        <v>90</v>
      </c>
      <c r="F430">
        <v>7.9</v>
      </c>
      <c r="G430">
        <v>3.67</v>
      </c>
      <c r="H430" t="s">
        <v>9</v>
      </c>
      <c r="I430" s="4">
        <f>igre_si[[#This Row],[Play Time]]/(SQRT(igre_si[[#This Row],[Min Players]]*igre_si[[#This Row],[Max Players]]))</f>
        <v>31.819805153394636</v>
      </c>
    </row>
    <row r="431" spans="1:9" x14ac:dyDescent="0.3">
      <c r="A431" t="s">
        <v>35</v>
      </c>
      <c r="B431">
        <v>2018</v>
      </c>
      <c r="C431">
        <v>1</v>
      </c>
      <c r="D431">
        <v>4</v>
      </c>
      <c r="E431">
        <v>150</v>
      </c>
      <c r="F431">
        <v>8.1300000000000008</v>
      </c>
      <c r="G431">
        <v>3.58</v>
      </c>
      <c r="H431" t="s">
        <v>9</v>
      </c>
      <c r="I431" s="4">
        <f>igre_si[[#This Row],[Play Time]]/(SQRT(igre_si[[#This Row],[Min Players]]*igre_si[[#This Row],[Max Players]]))</f>
        <v>75</v>
      </c>
    </row>
    <row r="432" spans="1:9" x14ac:dyDescent="0.3">
      <c r="A432" t="s">
        <v>461</v>
      </c>
      <c r="B432">
        <v>1971</v>
      </c>
      <c r="C432">
        <v>2</v>
      </c>
      <c r="D432">
        <v>10</v>
      </c>
      <c r="E432">
        <v>30</v>
      </c>
      <c r="F432">
        <v>5.4</v>
      </c>
      <c r="G432">
        <v>1.1200000000000001</v>
      </c>
      <c r="H432" t="s">
        <v>39</v>
      </c>
      <c r="I432" s="4">
        <f>igre_si[[#This Row],[Play Time]]/(SQRT(igre_si[[#This Row],[Min Players]]*igre_si[[#This Row],[Max Players]]))</f>
        <v>6.7082039324993685</v>
      </c>
    </row>
    <row r="433" spans="1:9" x14ac:dyDescent="0.3">
      <c r="A433" t="s">
        <v>426</v>
      </c>
      <c r="B433">
        <v>2017</v>
      </c>
      <c r="C433">
        <v>2</v>
      </c>
      <c r="D433">
        <v>8</v>
      </c>
      <c r="E433">
        <v>45</v>
      </c>
      <c r="F433">
        <v>6.31</v>
      </c>
      <c r="G433">
        <v>1.56</v>
      </c>
      <c r="H433" t="s">
        <v>92</v>
      </c>
      <c r="I433" s="4">
        <f>igre_si[[#This Row],[Play Time]]/(SQRT(igre_si[[#This Row],[Min Players]]*igre_si[[#This Row],[Max Players]]))</f>
        <v>11.25</v>
      </c>
    </row>
    <row r="434" spans="1:9" x14ac:dyDescent="0.3">
      <c r="A434" t="s">
        <v>285</v>
      </c>
      <c r="B434">
        <v>2016</v>
      </c>
      <c r="C434">
        <v>1</v>
      </c>
      <c r="D434">
        <v>5</v>
      </c>
      <c r="E434">
        <v>75</v>
      </c>
      <c r="F434">
        <v>7.17</v>
      </c>
      <c r="G434">
        <v>3.6</v>
      </c>
      <c r="H434" t="s">
        <v>9</v>
      </c>
      <c r="I434" s="4">
        <f>igre_si[[#This Row],[Play Time]]/(SQRT(igre_si[[#This Row],[Min Players]]*igre_si[[#This Row],[Max Players]]))</f>
        <v>33.541019662496844</v>
      </c>
    </row>
    <row r="435" spans="1:9" x14ac:dyDescent="0.3">
      <c r="A435" t="s">
        <v>167</v>
      </c>
      <c r="B435">
        <v>2011</v>
      </c>
      <c r="C435">
        <v>2</v>
      </c>
      <c r="D435">
        <v>4</v>
      </c>
      <c r="E435">
        <v>90</v>
      </c>
      <c r="F435">
        <v>7.53</v>
      </c>
      <c r="G435">
        <v>3.07</v>
      </c>
      <c r="H435" t="s">
        <v>9</v>
      </c>
      <c r="I435" s="4">
        <f>igre_si[[#This Row],[Play Time]]/(SQRT(igre_si[[#This Row],[Min Players]]*igre_si[[#This Row],[Max Players]]))</f>
        <v>31.819805153394636</v>
      </c>
    </row>
    <row r="436" spans="1:9" x14ac:dyDescent="0.3">
      <c r="A436" t="s">
        <v>45</v>
      </c>
      <c r="B436">
        <v>2015</v>
      </c>
      <c r="C436">
        <v>1</v>
      </c>
      <c r="D436">
        <v>6</v>
      </c>
      <c r="E436">
        <v>90</v>
      </c>
      <c r="F436">
        <v>8.08</v>
      </c>
      <c r="G436">
        <v>2.91</v>
      </c>
      <c r="H436" t="s">
        <v>9</v>
      </c>
      <c r="I436" s="4">
        <f>igre_si[[#This Row],[Play Time]]/(SQRT(igre_si[[#This Row],[Min Players]]*igre_si[[#This Row],[Max Players]]))</f>
        <v>36.742346141747674</v>
      </c>
    </row>
    <row r="437" spans="1:9" x14ac:dyDescent="0.3">
      <c r="A437" t="s">
        <v>98</v>
      </c>
      <c r="B437">
        <v>2004</v>
      </c>
      <c r="C437">
        <v>2</v>
      </c>
      <c r="D437">
        <v>4</v>
      </c>
      <c r="E437">
        <v>120</v>
      </c>
      <c r="F437">
        <v>7.77</v>
      </c>
      <c r="G437">
        <v>3.85</v>
      </c>
      <c r="H437" t="s">
        <v>12</v>
      </c>
      <c r="I437" s="4">
        <f>igre_si[[#This Row],[Play Time]]/(SQRT(igre_si[[#This Row],[Min Players]]*igre_si[[#This Row],[Max Players]]))</f>
        <v>42.426406871192846</v>
      </c>
    </row>
    <row r="438" spans="1:9" x14ac:dyDescent="0.3">
      <c r="A438" t="s">
        <v>402</v>
      </c>
      <c r="B438">
        <v>2013</v>
      </c>
      <c r="C438">
        <v>2</v>
      </c>
      <c r="D438">
        <v>4</v>
      </c>
      <c r="E438">
        <v>30</v>
      </c>
      <c r="F438">
        <v>6.6</v>
      </c>
      <c r="G438">
        <v>1.23</v>
      </c>
      <c r="H438" t="s">
        <v>39</v>
      </c>
      <c r="I438" s="4">
        <f>igre_si[[#This Row],[Play Time]]/(SQRT(igre_si[[#This Row],[Min Players]]*igre_si[[#This Row],[Max Players]]))</f>
        <v>10.606601717798211</v>
      </c>
    </row>
    <row r="439" spans="1:9" x14ac:dyDescent="0.3">
      <c r="A439" t="s">
        <v>138</v>
      </c>
      <c r="B439">
        <v>2018</v>
      </c>
      <c r="C439">
        <v>1</v>
      </c>
      <c r="D439">
        <v>100</v>
      </c>
      <c r="E439">
        <v>25</v>
      </c>
      <c r="F439">
        <v>7.61</v>
      </c>
      <c r="G439">
        <v>1.82</v>
      </c>
      <c r="H439" t="s">
        <v>39</v>
      </c>
      <c r="I439" s="4">
        <f>igre_si[[#This Row],[Play Time]]/(SQRT(igre_si[[#This Row],[Min Players]]*igre_si[[#This Row],[Max Players]]))</f>
        <v>2.5</v>
      </c>
    </row>
    <row r="440" spans="1:9" x14ac:dyDescent="0.3">
      <c r="A440" t="s">
        <v>123</v>
      </c>
      <c r="B440">
        <v>2018</v>
      </c>
      <c r="C440">
        <v>2</v>
      </c>
      <c r="D440">
        <v>6</v>
      </c>
      <c r="E440">
        <v>90</v>
      </c>
      <c r="F440">
        <v>7.66</v>
      </c>
      <c r="G440">
        <v>2.78</v>
      </c>
      <c r="H440" t="s">
        <v>12</v>
      </c>
      <c r="I440" s="4">
        <f>igre_si[[#This Row],[Play Time]]/(SQRT(igre_si[[#This Row],[Min Players]]*igre_si[[#This Row],[Max Players]]))</f>
        <v>25.98076211353316</v>
      </c>
    </row>
    <row r="441" spans="1:9" x14ac:dyDescent="0.3">
      <c r="A441" t="s">
        <v>38</v>
      </c>
      <c r="B441">
        <v>2019</v>
      </c>
      <c r="C441">
        <v>1</v>
      </c>
      <c r="D441">
        <v>5</v>
      </c>
      <c r="E441">
        <v>70</v>
      </c>
      <c r="F441">
        <v>8.11</v>
      </c>
      <c r="G441">
        <v>2.42</v>
      </c>
      <c r="H441" t="s">
        <v>39</v>
      </c>
      <c r="I441" s="4">
        <f>igre_si[[#This Row],[Play Time]]/(SQRT(igre_si[[#This Row],[Min Players]]*igre_si[[#This Row],[Max Players]]))</f>
        <v>31.304951684997054</v>
      </c>
    </row>
    <row r="442" spans="1:9" x14ac:dyDescent="0.3">
      <c r="A442" t="s">
        <v>358</v>
      </c>
      <c r="B442">
        <v>2005</v>
      </c>
      <c r="C442">
        <v>3</v>
      </c>
      <c r="D442">
        <v>7</v>
      </c>
      <c r="E442">
        <v>25</v>
      </c>
      <c r="F442">
        <v>6.93</v>
      </c>
      <c r="G442">
        <v>1.21</v>
      </c>
      <c r="H442" t="s">
        <v>92</v>
      </c>
      <c r="I442" s="4">
        <f>igre_si[[#This Row],[Play Time]]/(SQRT(igre_si[[#This Row],[Min Players]]*igre_si[[#This Row],[Max Players]]))</f>
        <v>5.4554472558998102</v>
      </c>
    </row>
    <row r="443" spans="1:9" x14ac:dyDescent="0.3">
      <c r="A443" t="s">
        <v>359</v>
      </c>
      <c r="B443">
        <v>1984</v>
      </c>
      <c r="C443">
        <v>3</v>
      </c>
      <c r="D443">
        <v>6</v>
      </c>
      <c r="E443">
        <v>45</v>
      </c>
      <c r="F443">
        <v>6.93</v>
      </c>
      <c r="G443">
        <v>1.73</v>
      </c>
      <c r="H443" t="s">
        <v>39</v>
      </c>
      <c r="I443" s="4">
        <f>igre_si[[#This Row],[Play Time]]/(SQRT(igre_si[[#This Row],[Min Players]]*igre_si[[#This Row],[Max Players]]))</f>
        <v>10.606601717798213</v>
      </c>
    </row>
    <row r="444" spans="1:9" x14ac:dyDescent="0.3">
      <c r="A444" t="s">
        <v>316</v>
      </c>
      <c r="B444">
        <v>2015</v>
      </c>
      <c r="C444">
        <v>1</v>
      </c>
      <c r="D444">
        <v>4</v>
      </c>
      <c r="E444">
        <v>120</v>
      </c>
      <c r="F444">
        <v>7.06</v>
      </c>
      <c r="G444">
        <v>2.9</v>
      </c>
      <c r="H444" t="s">
        <v>12</v>
      </c>
      <c r="I444" s="4">
        <f>igre_si[[#This Row],[Play Time]]/(SQRT(igre_si[[#This Row],[Min Players]]*igre_si[[#This Row],[Max Players]]))</f>
        <v>60</v>
      </c>
    </row>
    <row r="445" spans="1:9" x14ac:dyDescent="0.3">
      <c r="A445" t="s">
        <v>73</v>
      </c>
      <c r="B445">
        <v>2014</v>
      </c>
      <c r="C445">
        <v>3</v>
      </c>
      <c r="D445">
        <v>5</v>
      </c>
      <c r="E445">
        <v>180</v>
      </c>
      <c r="F445">
        <v>7.86</v>
      </c>
      <c r="G445">
        <v>3.17</v>
      </c>
      <c r="H445" t="s">
        <v>9</v>
      </c>
      <c r="I445" s="4">
        <f>igre_si[[#This Row],[Play Time]]/(SQRT(igre_si[[#This Row],[Min Players]]*igre_si[[#This Row],[Max Players]]))</f>
        <v>46.475800154489001</v>
      </c>
    </row>
    <row r="446" spans="1:9" x14ac:dyDescent="0.3">
      <c r="A446" t="s">
        <v>462</v>
      </c>
      <c r="B446">
        <v>1956</v>
      </c>
      <c r="C446">
        <v>2</v>
      </c>
      <c r="D446">
        <v>10</v>
      </c>
      <c r="E446">
        <v>30</v>
      </c>
      <c r="F446">
        <v>5.39</v>
      </c>
      <c r="G446">
        <v>1.19</v>
      </c>
      <c r="H446" t="s">
        <v>39</v>
      </c>
      <c r="I446" s="4">
        <f>igre_si[[#This Row],[Play Time]]/(SQRT(igre_si[[#This Row],[Min Players]]*igre_si[[#This Row],[Max Players]]))</f>
        <v>6.7082039324993685</v>
      </c>
    </row>
    <row r="447" spans="1:9" x14ac:dyDescent="0.3">
      <c r="A447" t="s">
        <v>77</v>
      </c>
      <c r="B447">
        <v>2016</v>
      </c>
      <c r="C447">
        <v>2</v>
      </c>
      <c r="D447">
        <v>4</v>
      </c>
      <c r="E447">
        <v>90</v>
      </c>
      <c r="F447">
        <v>7.85</v>
      </c>
      <c r="G447">
        <v>3.27</v>
      </c>
      <c r="H447" t="s">
        <v>9</v>
      </c>
      <c r="I447" s="4">
        <f>igre_si[[#This Row],[Play Time]]/(SQRT(igre_si[[#This Row],[Min Players]]*igre_si[[#This Row],[Max Players]]))</f>
        <v>31.819805153394636</v>
      </c>
    </row>
    <row r="448" spans="1:9" x14ac:dyDescent="0.3">
      <c r="A448" t="s">
        <v>287</v>
      </c>
      <c r="B448">
        <v>2012</v>
      </c>
      <c r="C448">
        <v>1</v>
      </c>
      <c r="D448">
        <v>6</v>
      </c>
      <c r="E448">
        <v>60</v>
      </c>
      <c r="F448">
        <v>7.16</v>
      </c>
      <c r="G448">
        <v>2.54</v>
      </c>
      <c r="H448" t="s">
        <v>12</v>
      </c>
      <c r="I448" s="4">
        <f>igre_si[[#This Row],[Play Time]]/(SQRT(igre_si[[#This Row],[Min Players]]*igre_si[[#This Row],[Max Players]]))</f>
        <v>24.494897427831784</v>
      </c>
    </row>
    <row r="449" spans="1:9" x14ac:dyDescent="0.3">
      <c r="A449" t="s">
        <v>118</v>
      </c>
      <c r="B449">
        <v>2015</v>
      </c>
      <c r="C449">
        <v>1</v>
      </c>
      <c r="D449">
        <v>6</v>
      </c>
      <c r="E449">
        <v>180</v>
      </c>
      <c r="F449">
        <v>7.68</v>
      </c>
      <c r="G449">
        <v>2.5099999999999998</v>
      </c>
      <c r="H449" t="s">
        <v>12</v>
      </c>
      <c r="I449" s="4">
        <f>igre_si[[#This Row],[Play Time]]/(SQRT(igre_si[[#This Row],[Min Players]]*igre_si[[#This Row],[Max Players]]))</f>
        <v>73.484692283495349</v>
      </c>
    </row>
    <row r="450" spans="1:9" x14ac:dyDescent="0.3">
      <c r="A450" t="s">
        <v>433</v>
      </c>
      <c r="B450">
        <v>2010</v>
      </c>
      <c r="C450">
        <v>2</v>
      </c>
      <c r="D450">
        <v>99</v>
      </c>
      <c r="E450">
        <v>20</v>
      </c>
      <c r="F450">
        <v>6.21</v>
      </c>
      <c r="G450">
        <v>1.1000000000000001</v>
      </c>
      <c r="H450" t="s">
        <v>92</v>
      </c>
      <c r="I450" s="4">
        <f>igre_si[[#This Row],[Play Time]]/(SQRT(igre_si[[#This Row],[Min Players]]*igre_si[[#This Row],[Max Players]]))</f>
        <v>1.4213381090374029</v>
      </c>
    </row>
    <row r="451" spans="1:9" x14ac:dyDescent="0.3">
      <c r="A451" t="s">
        <v>445</v>
      </c>
      <c r="B451">
        <v>2007</v>
      </c>
      <c r="C451">
        <v>2</v>
      </c>
      <c r="D451">
        <v>6</v>
      </c>
      <c r="E451">
        <v>40</v>
      </c>
      <c r="F451">
        <v>5.99</v>
      </c>
      <c r="G451">
        <v>1.44</v>
      </c>
      <c r="H451" t="s">
        <v>39</v>
      </c>
      <c r="I451" s="4">
        <f>igre_si[[#This Row],[Play Time]]/(SQRT(igre_si[[#This Row],[Min Players]]*igre_si[[#This Row],[Max Players]]))</f>
        <v>11.547005383792516</v>
      </c>
    </row>
    <row r="452" spans="1:9" x14ac:dyDescent="0.3">
      <c r="A452" t="s">
        <v>451</v>
      </c>
      <c r="B452">
        <v>2001</v>
      </c>
      <c r="C452">
        <v>2</v>
      </c>
      <c r="D452">
        <v>6</v>
      </c>
      <c r="E452">
        <v>90</v>
      </c>
      <c r="F452">
        <v>5.8</v>
      </c>
      <c r="G452">
        <v>1.61</v>
      </c>
      <c r="H452" t="s">
        <v>12</v>
      </c>
      <c r="I452" s="4">
        <f>igre_si[[#This Row],[Play Time]]/(SQRT(igre_si[[#This Row],[Min Players]]*igre_si[[#This Row],[Max Players]]))</f>
        <v>25.98076211353316</v>
      </c>
    </row>
    <row r="453" spans="1:9" x14ac:dyDescent="0.3">
      <c r="A453" t="s">
        <v>375</v>
      </c>
      <c r="B453">
        <v>2007</v>
      </c>
      <c r="C453">
        <v>2</v>
      </c>
      <c r="D453">
        <v>5</v>
      </c>
      <c r="E453">
        <v>45</v>
      </c>
      <c r="F453">
        <v>6.83</v>
      </c>
      <c r="G453">
        <v>1.86</v>
      </c>
      <c r="H453" t="s">
        <v>39</v>
      </c>
      <c r="I453" s="4">
        <f>igre_si[[#This Row],[Play Time]]/(SQRT(igre_si[[#This Row],[Min Players]]*igre_si[[#This Row],[Max Players]]))</f>
        <v>14.230249470757705</v>
      </c>
    </row>
  </sheetData>
  <conditionalFormatting sqref="A2:A453">
    <cfRule type="expression" dxfId="0" priority="1">
      <formula>$D2&gt;=5</formula>
    </cfRule>
  </conditionalFormatting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833D-9619-4781-9125-E180C169E00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4C7131-87C2-42BC-AD0E-ADDA0BBD4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</vt:i4>
      </vt:variant>
    </vt:vector>
  </HeadingPairs>
  <TitlesOfParts>
    <vt:vector size="2" baseType="lpstr">
      <vt:lpstr>igre-si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Pervinšek, Taja</dc:creator>
  <cp:lastModifiedBy>Taja Pervinšek</cp:lastModifiedBy>
  <dcterms:created xsi:type="dcterms:W3CDTF">2026-02-10T10:22:23Z</dcterms:created>
  <dcterms:modified xsi:type="dcterms:W3CDTF">2026-02-10T11:24:36Z</dcterms:modified>
</cp:coreProperties>
</file>