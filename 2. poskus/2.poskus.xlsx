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7f394ac1e0393/Documents/RS/rac-praktikum/2. poskus/"/>
    </mc:Choice>
  </mc:AlternateContent>
  <xr:revisionPtr revIDLastSave="0" documentId="8_{1F6CB373-11CB-48A1-975B-0AB16E1E5C0D}" xr6:coauthVersionLast="47" xr6:coauthVersionMax="47" xr10:uidLastSave="{00000000-0000-0000-0000-000000000000}"/>
  <bookViews>
    <workbookView xWindow="-120" yWindow="-120" windowWidth="29040" windowHeight="15720" xr2:uid="{C24B5F9E-F7B6-4571-B29D-7BB61B06FD91}"/>
  </bookViews>
  <sheets>
    <sheet name="vhodni-podatki" sheetId="2" r:id="rId1"/>
    <sheet name="List1" sheetId="1" r:id="rId2"/>
  </sheets>
  <definedNames>
    <definedName name="ExternalData_1" localSheetId="0" hidden="1">'vhodni-podatki'!$A$1:$H$135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  <c r="I3" i="2" a="1"/>
  <c r="I3" i="2"/>
  <c r="I4" i="2" a="1"/>
  <c r="I4" i="2" s="1"/>
  <c r="I5" i="2" a="1"/>
  <c r="I5" i="2" s="1"/>
  <c r="I6" i="2" a="1"/>
  <c r="I6" i="2"/>
  <c r="I7" i="2" a="1"/>
  <c r="I7" i="2" s="1"/>
  <c r="I8" i="2" a="1"/>
  <c r="I8" i="2" s="1"/>
  <c r="I9" i="2" a="1"/>
  <c r="I9" i="2"/>
  <c r="I10" i="2" a="1"/>
  <c r="I10" i="2" s="1"/>
  <c r="I11" i="2" a="1"/>
  <c r="I11" i="2" s="1"/>
  <c r="I12" i="2" a="1"/>
  <c r="I12" i="2"/>
  <c r="I13" i="2" a="1"/>
  <c r="I13" i="2" s="1"/>
  <c r="I14" i="2" a="1"/>
  <c r="I14" i="2" s="1"/>
  <c r="I15" i="2" a="1"/>
  <c r="I15" i="2"/>
  <c r="I16" i="2" a="1"/>
  <c r="I16" i="2" s="1"/>
  <c r="I17" i="2" a="1"/>
  <c r="I17" i="2" s="1"/>
  <c r="I18" i="2" a="1"/>
  <c r="I18" i="2"/>
  <c r="I19" i="2" a="1"/>
  <c r="I19" i="2" s="1"/>
  <c r="I20" i="2" a="1"/>
  <c r="I20" i="2" s="1"/>
  <c r="I21" i="2" a="1"/>
  <c r="I21" i="2"/>
  <c r="I22" i="2" a="1"/>
  <c r="I22" i="2" s="1"/>
  <c r="I23" i="2" a="1"/>
  <c r="I23" i="2" s="1"/>
  <c r="I24" i="2" a="1"/>
  <c r="I24" i="2"/>
  <c r="I25" i="2" a="1"/>
  <c r="I25" i="2" s="1"/>
  <c r="I26" i="2" a="1"/>
  <c r="I26" i="2" s="1"/>
  <c r="I27" i="2" a="1"/>
  <c r="I27" i="2"/>
  <c r="I28" i="2" a="1"/>
  <c r="I28" i="2" s="1"/>
  <c r="I29" i="2" a="1"/>
  <c r="I29" i="2" s="1"/>
  <c r="I30" i="2" a="1"/>
  <c r="I30" i="2"/>
  <c r="I31" i="2" a="1"/>
  <c r="I31" i="2" s="1"/>
  <c r="I32" i="2" a="1"/>
  <c r="I32" i="2" s="1"/>
  <c r="I33" i="2" a="1"/>
  <c r="I33" i="2"/>
  <c r="I34" i="2" a="1"/>
  <c r="I34" i="2" s="1"/>
  <c r="I35" i="2" a="1"/>
  <c r="I35" i="2" s="1"/>
  <c r="I36" i="2" a="1"/>
  <c r="I36" i="2"/>
  <c r="I37" i="2" a="1"/>
  <c r="I37" i="2" s="1"/>
  <c r="I38" i="2" a="1"/>
  <c r="I38" i="2" s="1"/>
  <c r="I39" i="2" a="1"/>
  <c r="I39" i="2"/>
  <c r="I40" i="2" a="1"/>
  <c r="I40" i="2" s="1"/>
  <c r="I41" i="2" a="1"/>
  <c r="I41" i="2" s="1"/>
  <c r="I42" i="2" a="1"/>
  <c r="I42" i="2"/>
  <c r="I43" i="2" a="1"/>
  <c r="I43" i="2" s="1"/>
  <c r="I44" i="2" a="1"/>
  <c r="I44" i="2" s="1"/>
  <c r="I45" i="2" a="1"/>
  <c r="I45" i="2"/>
  <c r="I46" i="2" a="1"/>
  <c r="I46" i="2" s="1"/>
  <c r="I47" i="2" a="1"/>
  <c r="I47" i="2" s="1"/>
  <c r="I48" i="2" a="1"/>
  <c r="I48" i="2"/>
  <c r="I49" i="2" a="1"/>
  <c r="I49" i="2" s="1"/>
  <c r="I50" i="2" a="1"/>
  <c r="I50" i="2" s="1"/>
  <c r="I51" i="2" a="1"/>
  <c r="I51" i="2"/>
  <c r="I52" i="2" a="1"/>
  <c r="I52" i="2" s="1"/>
  <c r="I53" i="2" a="1"/>
  <c r="I53" i="2" s="1"/>
  <c r="I54" i="2" a="1"/>
  <c r="I54" i="2"/>
  <c r="I55" i="2" a="1"/>
  <c r="I55" i="2" s="1"/>
  <c r="I56" i="2" a="1"/>
  <c r="I56" i="2" s="1"/>
  <c r="I57" i="2" a="1"/>
  <c r="I57" i="2"/>
  <c r="I58" i="2" a="1"/>
  <c r="I58" i="2" s="1"/>
  <c r="I59" i="2" a="1"/>
  <c r="I59" i="2" s="1"/>
  <c r="I60" i="2" a="1"/>
  <c r="I60" i="2"/>
  <c r="I61" i="2" a="1"/>
  <c r="I61" i="2" s="1"/>
  <c r="I62" i="2" a="1"/>
  <c r="I62" i="2" s="1"/>
  <c r="I63" i="2" a="1"/>
  <c r="I63" i="2"/>
  <c r="I64" i="2" a="1"/>
  <c r="I64" i="2" s="1"/>
  <c r="I65" i="2" a="1"/>
  <c r="I65" i="2" s="1"/>
  <c r="I66" i="2" a="1"/>
  <c r="I66" i="2"/>
  <c r="I67" i="2" a="1"/>
  <c r="I67" i="2" s="1"/>
  <c r="I68" i="2" a="1"/>
  <c r="I68" i="2" s="1"/>
  <c r="I69" i="2" a="1"/>
  <c r="I69" i="2"/>
  <c r="I70" i="2" a="1"/>
  <c r="I70" i="2" s="1"/>
  <c r="I71" i="2" a="1"/>
  <c r="I71" i="2" s="1"/>
  <c r="I72" i="2" a="1"/>
  <c r="I72" i="2"/>
  <c r="I73" i="2" a="1"/>
  <c r="I73" i="2" s="1"/>
  <c r="I74" i="2" a="1"/>
  <c r="I74" i="2" s="1"/>
  <c r="I75" i="2" a="1"/>
  <c r="I75" i="2"/>
  <c r="I76" i="2" a="1"/>
  <c r="I76" i="2" s="1"/>
  <c r="I77" i="2" a="1"/>
  <c r="I77" i="2" s="1"/>
  <c r="I78" i="2" a="1"/>
  <c r="I78" i="2"/>
  <c r="I79" i="2" a="1"/>
  <c r="I79" i="2" s="1"/>
  <c r="I80" i="2" a="1"/>
  <c r="I80" i="2" s="1"/>
  <c r="I81" i="2" a="1"/>
  <c r="I81" i="2"/>
  <c r="I82" i="2" a="1"/>
  <c r="I82" i="2" s="1"/>
  <c r="I83" i="2" a="1"/>
  <c r="I83" i="2" s="1"/>
  <c r="I84" i="2" a="1"/>
  <c r="I84" i="2"/>
  <c r="I85" i="2" a="1"/>
  <c r="I85" i="2" s="1"/>
  <c r="I86" i="2" a="1"/>
  <c r="I86" i="2" s="1"/>
  <c r="I87" i="2" a="1"/>
  <c r="I87" i="2"/>
  <c r="I88" i="2" a="1"/>
  <c r="I88" i="2" s="1"/>
  <c r="I89" i="2" a="1"/>
  <c r="I89" i="2" s="1"/>
  <c r="I90" i="2" a="1"/>
  <c r="I90" i="2"/>
  <c r="I91" i="2" a="1"/>
  <c r="I91" i="2" s="1"/>
  <c r="I92" i="2" a="1"/>
  <c r="I92" i="2" s="1"/>
  <c r="I93" i="2" a="1"/>
  <c r="I93" i="2"/>
  <c r="I94" i="2" a="1"/>
  <c r="I94" i="2" s="1"/>
  <c r="I95" i="2" a="1"/>
  <c r="I95" i="2" s="1"/>
  <c r="I96" i="2" a="1"/>
  <c r="I96" i="2"/>
  <c r="I97" i="2" a="1"/>
  <c r="I97" i="2" s="1"/>
  <c r="I98" i="2" a="1"/>
  <c r="I98" i="2" s="1"/>
  <c r="I99" i="2" a="1"/>
  <c r="I99" i="2"/>
  <c r="I100" i="2" a="1"/>
  <c r="I100" i="2" s="1"/>
  <c r="I101" i="2" a="1"/>
  <c r="I101" i="2" s="1"/>
  <c r="I102" i="2" a="1"/>
  <c r="I102" i="2"/>
  <c r="I103" i="2" a="1"/>
  <c r="I103" i="2" s="1"/>
  <c r="I104" i="2" a="1"/>
  <c r="I104" i="2" s="1"/>
  <c r="I105" i="2" a="1"/>
  <c r="I105" i="2"/>
  <c r="I106" i="2" a="1"/>
  <c r="I106" i="2" s="1"/>
  <c r="I107" i="2" a="1"/>
  <c r="I107" i="2" s="1"/>
  <c r="I108" i="2" a="1"/>
  <c r="I108" i="2"/>
  <c r="I109" i="2" a="1"/>
  <c r="I109" i="2" s="1"/>
  <c r="I110" i="2" a="1"/>
  <c r="I110" i="2" s="1"/>
  <c r="I111" i="2" a="1"/>
  <c r="I111" i="2"/>
  <c r="I112" i="2" a="1"/>
  <c r="I112" i="2" s="1"/>
  <c r="I113" i="2" a="1"/>
  <c r="I113" i="2" s="1"/>
  <c r="I114" i="2" a="1"/>
  <c r="I114" i="2"/>
  <c r="I115" i="2" a="1"/>
  <c r="I115" i="2" s="1"/>
  <c r="I116" i="2" a="1"/>
  <c r="I116" i="2" s="1"/>
  <c r="I117" i="2" a="1"/>
  <c r="I117" i="2"/>
  <c r="I118" i="2" a="1"/>
  <c r="I118" i="2" s="1"/>
  <c r="I119" i="2" a="1"/>
  <c r="I119" i="2" s="1"/>
  <c r="I120" i="2" a="1"/>
  <c r="I120" i="2"/>
  <c r="I121" i="2" a="1"/>
  <c r="I121" i="2" s="1"/>
  <c r="I122" i="2" a="1"/>
  <c r="I122" i="2" s="1"/>
  <c r="I123" i="2" a="1"/>
  <c r="I123" i="2"/>
  <c r="I124" i="2" a="1"/>
  <c r="I124" i="2" s="1"/>
  <c r="I125" i="2" a="1"/>
  <c r="I125" i="2" s="1"/>
  <c r="I126" i="2" a="1"/>
  <c r="I126" i="2"/>
  <c r="I127" i="2" a="1"/>
  <c r="I127" i="2" s="1"/>
  <c r="I128" i="2" a="1"/>
  <c r="I128" i="2" s="1"/>
  <c r="I129" i="2" a="1"/>
  <c r="I129" i="2"/>
  <c r="I130" i="2" a="1"/>
  <c r="I130" i="2" s="1"/>
  <c r="I131" i="2" a="1"/>
  <c r="I131" i="2" s="1"/>
  <c r="I132" i="2" a="1"/>
  <c r="I132" i="2"/>
  <c r="I133" i="2" a="1"/>
  <c r="I133" i="2" s="1"/>
  <c r="I134" i="2" a="1"/>
  <c r="I134" i="2" s="1"/>
  <c r="I135" i="2" a="1"/>
  <c r="I1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3BEA9B-E56B-4F56-89DF-57D1D13721A1}" keepAlive="1" name="Poizvedba – vhodni-podatki" description="Povezava s poizvedbo »vhodni-podatki« v delovnem zvezku." type="5" refreshedVersion="8" background="1" saveData="1">
    <dbPr connection="Provider=Microsoft.Mashup.OleDb.1;Data Source=$Workbook$;Location=vhodni-podatki;Extended Properties=&quot;&quot;" command="SELECT * FROM [vhodni-podatk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<sst xmlns="http://schemas.openxmlformats.org/spreadsheetml/2006/main" count="428" uniqueCount="253">
  <si>
    <t>Vpisna</t>
  </si>
  <si>
    <t>Program</t>
  </si>
  <si>
    <t>Priimek</t>
  </si>
  <si>
    <t>Ime</t>
  </si>
  <si>
    <t>HTML</t>
  </si>
  <si>
    <t>LaTeX</t>
  </si>
  <si>
    <t>Excel</t>
  </si>
  <si>
    <t>Mathematica</t>
  </si>
  <si>
    <t>MAT</t>
  </si>
  <si>
    <t>Kastelic</t>
  </si>
  <si>
    <t>Rafael</t>
  </si>
  <si>
    <t>FIN</t>
  </si>
  <si>
    <t>Zupan</t>
  </si>
  <si>
    <t>Željka</t>
  </si>
  <si>
    <t>Horvat</t>
  </si>
  <si>
    <t>Terezija</t>
  </si>
  <si>
    <t>APM</t>
  </si>
  <si>
    <t>Krmelj</t>
  </si>
  <si>
    <t>Marjan</t>
  </si>
  <si>
    <t>Jereb</t>
  </si>
  <si>
    <t>Tina</t>
  </si>
  <si>
    <t>Koren</t>
  </si>
  <si>
    <t>Hedvika</t>
  </si>
  <si>
    <t>Petrović</t>
  </si>
  <si>
    <t>Luka</t>
  </si>
  <si>
    <t>Mlakar</t>
  </si>
  <si>
    <t>Zvonko</t>
  </si>
  <si>
    <t>Kocjan</t>
  </si>
  <si>
    <t>Branko</t>
  </si>
  <si>
    <t>Šinkovec</t>
  </si>
  <si>
    <t>Uroš</t>
  </si>
  <si>
    <t>Božič</t>
  </si>
  <si>
    <t>Katarina</t>
  </si>
  <si>
    <t>Klemenčič</t>
  </si>
  <si>
    <t>Zdenka</t>
  </si>
  <si>
    <t>Hribar</t>
  </si>
  <si>
    <t>Tatjana</t>
  </si>
  <si>
    <t>Vovk</t>
  </si>
  <si>
    <t>Cecilija</t>
  </si>
  <si>
    <t>Verbič</t>
  </si>
  <si>
    <t>Blaž</t>
  </si>
  <si>
    <t>Miklavčič</t>
  </si>
  <si>
    <t>Špela</t>
  </si>
  <si>
    <t>Lesjak</t>
  </si>
  <si>
    <t>Samo</t>
  </si>
  <si>
    <t>Pirc</t>
  </si>
  <si>
    <t>Neža</t>
  </si>
  <si>
    <t>Eva</t>
  </si>
  <si>
    <t>Jasminka</t>
  </si>
  <si>
    <t>Gros</t>
  </si>
  <si>
    <t>Žarko</t>
  </si>
  <si>
    <t>Sever</t>
  </si>
  <si>
    <t>Helena</t>
  </si>
  <si>
    <t>Vidmar</t>
  </si>
  <si>
    <t>Hana</t>
  </si>
  <si>
    <t>Rozman</t>
  </si>
  <si>
    <t>Jan</t>
  </si>
  <si>
    <t>Brumen</t>
  </si>
  <si>
    <t>Kristjan</t>
  </si>
  <si>
    <t>Miklič</t>
  </si>
  <si>
    <t>Gal</t>
  </si>
  <si>
    <t>Domen</t>
  </si>
  <si>
    <t>Černe</t>
  </si>
  <si>
    <t>Nina</t>
  </si>
  <si>
    <t>Erna</t>
  </si>
  <si>
    <t>Marinšek</t>
  </si>
  <si>
    <t>Gregor</t>
  </si>
  <si>
    <t>PED</t>
  </si>
  <si>
    <t>Fink</t>
  </si>
  <si>
    <t>Klara</t>
  </si>
  <si>
    <t>Brezovar</t>
  </si>
  <si>
    <t>Pavla</t>
  </si>
  <si>
    <t>Pavlin</t>
  </si>
  <si>
    <t>Brina</t>
  </si>
  <si>
    <t>Klešnik</t>
  </si>
  <si>
    <t>Veronika</t>
  </si>
  <si>
    <t>Mahnič</t>
  </si>
  <si>
    <t>Urban</t>
  </si>
  <si>
    <t>Vid</t>
  </si>
  <si>
    <t>Potočnik</t>
  </si>
  <si>
    <t>Filip</t>
  </si>
  <si>
    <t>Rupnik</t>
  </si>
  <si>
    <t>Nik</t>
  </si>
  <si>
    <t>Kovšca</t>
  </si>
  <si>
    <t>Izidor</t>
  </si>
  <si>
    <t>Turk</t>
  </si>
  <si>
    <t>Feliks</t>
  </si>
  <si>
    <t>Modic</t>
  </si>
  <si>
    <t>Niko</t>
  </si>
  <si>
    <t>Kos</t>
  </si>
  <si>
    <t>Jaka</t>
  </si>
  <si>
    <t>Golob</t>
  </si>
  <si>
    <t>Maja</t>
  </si>
  <si>
    <t>Hren</t>
  </si>
  <si>
    <t>Jelka</t>
  </si>
  <si>
    <t>Štrukelj</t>
  </si>
  <si>
    <t>Zala</t>
  </si>
  <si>
    <t>Dolinar</t>
  </si>
  <si>
    <t>Franci</t>
  </si>
  <si>
    <t>Bohinc</t>
  </si>
  <si>
    <t>Lea</t>
  </si>
  <si>
    <t>Čepon</t>
  </si>
  <si>
    <t>Tadej</t>
  </si>
  <si>
    <t>Kovačič</t>
  </si>
  <si>
    <t>Cene</t>
  </si>
  <si>
    <t>Jenko</t>
  </si>
  <si>
    <t>Gabrijel</t>
  </si>
  <si>
    <t>Kočevar</t>
  </si>
  <si>
    <t>Alojz</t>
  </si>
  <si>
    <t>Fatur</t>
  </si>
  <si>
    <t>Matija</t>
  </si>
  <si>
    <t>Korbar</t>
  </si>
  <si>
    <t>Urška</t>
  </si>
  <si>
    <t>Gizela</t>
  </si>
  <si>
    <t>Meglič</t>
  </si>
  <si>
    <t>Fani</t>
  </si>
  <si>
    <t>Cerar</t>
  </si>
  <si>
    <t>Ignac</t>
  </si>
  <si>
    <t>Lidija</t>
  </si>
  <si>
    <t>Herman</t>
  </si>
  <si>
    <t>Medved</t>
  </si>
  <si>
    <t>Ivan</t>
  </si>
  <si>
    <t>Jernejc</t>
  </si>
  <si>
    <t>Jernej</t>
  </si>
  <si>
    <t>Slivnik</t>
  </si>
  <si>
    <t>Živa</t>
  </si>
  <si>
    <t>Gradišar</t>
  </si>
  <si>
    <t>Miha</t>
  </si>
  <si>
    <t>Kolman</t>
  </si>
  <si>
    <t>Irena</t>
  </si>
  <si>
    <t>Tavčar</t>
  </si>
  <si>
    <t>Franc</t>
  </si>
  <si>
    <t>Lovšin</t>
  </si>
  <si>
    <t>Polona</t>
  </si>
  <si>
    <t>Lužar</t>
  </si>
  <si>
    <t>Drago</t>
  </si>
  <si>
    <t>Vesna</t>
  </si>
  <si>
    <t>Oblak</t>
  </si>
  <si>
    <t>Pia</t>
  </si>
  <si>
    <t>Zajc</t>
  </si>
  <si>
    <t>Rotar</t>
  </si>
  <si>
    <t>Val</t>
  </si>
  <si>
    <t>Kralj</t>
  </si>
  <si>
    <t>Grega</t>
  </si>
  <si>
    <t>Murn</t>
  </si>
  <si>
    <t>Olga</t>
  </si>
  <si>
    <t>Kavčič</t>
  </si>
  <si>
    <t>Vita</t>
  </si>
  <si>
    <t>Kotnik</t>
  </si>
  <si>
    <t>Karmen</t>
  </si>
  <si>
    <t>Tomažič</t>
  </si>
  <si>
    <t>Oto</t>
  </si>
  <si>
    <t>Sara</t>
  </si>
  <si>
    <t>Klemen</t>
  </si>
  <si>
    <t>Damjan</t>
  </si>
  <si>
    <t>Hrovat</t>
  </si>
  <si>
    <t>Sebastjan</t>
  </si>
  <si>
    <t>Klopčič</t>
  </si>
  <si>
    <t>Denis</t>
  </si>
  <si>
    <t>Slapar</t>
  </si>
  <si>
    <t>Patrik</t>
  </si>
  <si>
    <t>Bor</t>
  </si>
  <si>
    <t>Danica</t>
  </si>
  <si>
    <t>Resnik</t>
  </si>
  <si>
    <t>Metka</t>
  </si>
  <si>
    <t>Jelen</t>
  </si>
  <si>
    <t>Erik</t>
  </si>
  <si>
    <t>Žagar</t>
  </si>
  <si>
    <t>Žan</t>
  </si>
  <si>
    <t>Pečar</t>
  </si>
  <si>
    <t>Alenka</t>
  </si>
  <si>
    <t>Kebe</t>
  </si>
  <si>
    <t>Hilda</t>
  </si>
  <si>
    <t>Jelenko</t>
  </si>
  <si>
    <t>Nikolaj</t>
  </si>
  <si>
    <t>Zupanc</t>
  </si>
  <si>
    <t>Darja</t>
  </si>
  <si>
    <t>David</t>
  </si>
  <si>
    <t>Krapež</t>
  </si>
  <si>
    <t>Elizabeta</t>
  </si>
  <si>
    <t>Iza</t>
  </si>
  <si>
    <t>Ema</t>
  </si>
  <si>
    <t>Francis</t>
  </si>
  <si>
    <t>Ana</t>
  </si>
  <si>
    <t>Lebe</t>
  </si>
  <si>
    <t>Petra</t>
  </si>
  <si>
    <t>Natasa</t>
  </si>
  <si>
    <t>Pintar</t>
  </si>
  <si>
    <t>Hugo</t>
  </si>
  <si>
    <t>Silvija</t>
  </si>
  <si>
    <t>Gregorčič</t>
  </si>
  <si>
    <t>Zoran</t>
  </si>
  <si>
    <t>Robert</t>
  </si>
  <si>
    <t>Bajec</t>
  </si>
  <si>
    <t>Oskar</t>
  </si>
  <si>
    <t>Ciril</t>
  </si>
  <si>
    <t>Tomšič</t>
  </si>
  <si>
    <t>Žiga</t>
  </si>
  <si>
    <t>Rok</t>
  </si>
  <si>
    <t>Drobnič</t>
  </si>
  <si>
    <t>Gorenc</t>
  </si>
  <si>
    <t>Primož</t>
  </si>
  <si>
    <t>Trontelj</t>
  </si>
  <si>
    <t>Tamara</t>
  </si>
  <si>
    <t>Pavlič</t>
  </si>
  <si>
    <t>Teja</t>
  </si>
  <si>
    <t>Plestenjak</t>
  </si>
  <si>
    <t>Rajko</t>
  </si>
  <si>
    <t>Bregar</t>
  </si>
  <si>
    <t>Lovro</t>
  </si>
  <si>
    <t>Krek</t>
  </si>
  <si>
    <t>Renata</t>
  </si>
  <si>
    <t>Petan</t>
  </si>
  <si>
    <t>Otilija</t>
  </si>
  <si>
    <t>Škrlj</t>
  </si>
  <si>
    <t>Cvetka</t>
  </si>
  <si>
    <t>Vladimir</t>
  </si>
  <si>
    <t>Novak</t>
  </si>
  <si>
    <t>Kraševec</t>
  </si>
  <si>
    <t>Albert</t>
  </si>
  <si>
    <t>Mravljak</t>
  </si>
  <si>
    <t>Ljubica</t>
  </si>
  <si>
    <t>Aljaž</t>
  </si>
  <si>
    <t>Jeram</t>
  </si>
  <si>
    <t>Goran</t>
  </si>
  <si>
    <t>Egon</t>
  </si>
  <si>
    <t>Benjamin</t>
  </si>
  <si>
    <t>Blažič</t>
  </si>
  <si>
    <t>Jože</t>
  </si>
  <si>
    <t>Ramšak</t>
  </si>
  <si>
    <t>Barbara</t>
  </si>
  <si>
    <t>Bojan</t>
  </si>
  <si>
    <t>Miran</t>
  </si>
  <si>
    <t>Kac</t>
  </si>
  <si>
    <t>Emil</t>
  </si>
  <si>
    <t>Silva</t>
  </si>
  <si>
    <t>APF</t>
  </si>
  <si>
    <t>Vilhar</t>
  </si>
  <si>
    <t>Karol</t>
  </si>
  <si>
    <t>Gomboc</t>
  </si>
  <si>
    <t>Rozalija</t>
  </si>
  <si>
    <t>Skupno</t>
  </si>
  <si>
    <t>Ocena</t>
  </si>
  <si>
    <t>Oznake vrstic</t>
  </si>
  <si>
    <t>10</t>
  </si>
  <si>
    <t>5</t>
  </si>
  <si>
    <t>6</t>
  </si>
  <si>
    <t>7</t>
  </si>
  <si>
    <t>8</t>
  </si>
  <si>
    <t>9</t>
  </si>
  <si>
    <t>Skupna vsota</t>
  </si>
  <si>
    <t>Oznake stolpcev</t>
  </si>
  <si>
    <t>Štetje od 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</si>
</sst>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avadno" xfId="0" builtinId="0"/>
  </cellStyles>
  <dxfs count="11">
    <dxf>
      <numFmt numFmtId="0" formatCode="General"/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ja Pervinšek" refreshedDate="46061.540130439818" createdVersion="8" refreshedVersion="8" minRefreshableVersion="3" recordCount="134" xr:uid="{1B596F89-CEDC-48CA-A70A-A19024FA0D67}">
  <cacheSource type="worksheet">
    <worksheetSource name="vhodni_podatki"/>
  </cacheSource>
  <cacheFields count="10">
    <cacheField name="Vpisna" numFmtId="0">
      <sharedItems containsSemiMixedTypes="0" containsString="0" containsNumber="1" containsInteger="1" minValue="27242007" maxValue="28242382" count="134">
        <n v="27242984"/>
        <n v="27242820"/>
        <n v="27242965"/>
        <n v="27242701"/>
        <n v="27242370"/>
        <n v="27242440"/>
        <n v="27242091"/>
        <n v="27242906"/>
        <n v="27242250"/>
        <n v="27242189"/>
        <n v="27242410"/>
        <n v="27242372"/>
        <n v="27242208"/>
        <n v="27242642"/>
        <n v="27242369"/>
        <n v="27242843"/>
        <n v="27242393"/>
        <n v="27242249"/>
        <n v="27242595"/>
        <n v="27242340"/>
        <n v="28242382"/>
        <n v="27242865"/>
        <n v="27242476"/>
        <n v="27242789"/>
        <n v="27242636"/>
        <n v="27242158"/>
        <n v="28242160"/>
        <n v="27242016"/>
        <n v="27242358"/>
        <n v="27242100"/>
        <n v="27242293"/>
        <n v="27242599"/>
        <n v="27242658"/>
        <n v="27242690"/>
        <n v="27242384"/>
        <n v="27242957"/>
        <n v="27242797"/>
        <n v="27242025"/>
        <n v="27242462"/>
        <n v="27242990"/>
        <n v="27242007"/>
        <n v="27242572"/>
        <n v="27242686"/>
        <n v="27242949"/>
        <n v="27242092"/>
        <n v="27242256"/>
        <n v="27242607"/>
        <n v="27242070"/>
        <n v="27242197"/>
        <n v="27242392"/>
        <n v="27242489"/>
        <n v="27242404"/>
        <n v="27242030"/>
        <n v="27242408"/>
        <n v="27242323"/>
        <n v="27242924"/>
        <n v="27242585"/>
        <n v="27242377"/>
        <n v="27242921"/>
        <n v="27242304"/>
        <n v="27242598"/>
        <n v="27242560"/>
        <n v="27242702"/>
        <n v="27242926"/>
        <n v="27242910"/>
        <n v="27242019"/>
        <n v="27242759"/>
        <n v="27242748"/>
        <n v="27242132"/>
        <n v="27242503"/>
        <n v="27242508"/>
        <n v="27242773"/>
        <n v="27242284"/>
        <n v="27242223"/>
        <n v="27242744"/>
        <n v="27242447"/>
        <n v="27242409"/>
        <n v="27242119"/>
        <n v="27242221"/>
        <n v="27242191"/>
        <n v="28242075"/>
        <n v="27242039"/>
        <n v="27242313"/>
        <n v="27242932"/>
        <n v="27242566"/>
        <n v="27242830"/>
        <n v="27242922"/>
        <n v="27242995"/>
        <n v="27242534"/>
        <n v="27242594"/>
        <n v="27242887"/>
        <n v="27242255"/>
        <n v="27242683"/>
        <n v="27242826"/>
        <n v="27242915"/>
        <n v="27242156"/>
        <n v="27242038"/>
        <n v="27242763"/>
        <n v="27242145"/>
        <n v="27242896"/>
        <n v="27242982"/>
        <n v="27242295"/>
        <n v="27242977"/>
        <n v="27242644"/>
        <n v="27242548"/>
        <n v="27242960"/>
        <n v="27242178"/>
        <n v="27242438"/>
        <n v="27242298"/>
        <n v="27242737"/>
        <n v="27242169"/>
        <n v="27242621"/>
        <n v="27242474"/>
        <n v="27242089"/>
        <n v="27242919"/>
        <n v="27242512"/>
        <n v="27242361"/>
        <n v="27242498"/>
        <n v="27242590"/>
        <n v="27242829"/>
        <n v="27242869"/>
        <n v="27242312"/>
        <n v="27242717"/>
        <n v="27242108"/>
        <n v="27242958"/>
        <n v="27242174"/>
        <n v="28242114"/>
        <n v="27242102"/>
        <n v="27242539"/>
        <n v="27242732"/>
        <n v="27242153"/>
        <n v="27242013"/>
        <n v="27242695"/>
        <n v="27242677"/>
      </sharedItems>
    </cacheField>
    <cacheField name="Program" numFmtId="0">
      <sharedItems count="5">
        <s v="MAT"/>
        <s v="FIN"/>
        <s v="PED"/>
        <s v="APM"/>
        <s v="APF"/>
      </sharedItems>
    </cacheField>
    <cacheField name="Priimek" numFmtId="0">
      <sharedItems/>
    </cacheField>
    <cacheField name="Ime" numFmtId="0">
      <sharedItems/>
    </cacheField>
    <cacheField name="HTML" numFmtId="0">
      <sharedItems containsSemiMixedTypes="0" containsString="0" containsNumber="1" containsInteger="1" minValue="0" maxValue="20"/>
    </cacheField>
    <cacheField name="LaTeX" numFmtId="0">
      <sharedItems containsSemiMixedTypes="0" containsString="0" containsNumber="1" containsInteger="1" minValue="0" maxValue="37"/>
    </cacheField>
    <cacheField name="Excel" numFmtId="0">
      <sharedItems containsSemiMixedTypes="0" containsString="0" containsNumber="1" containsInteger="1" minValue="0" maxValue="12"/>
    </cacheField>
    <cacheField name="Mathematica" numFmtId="0">
      <sharedItems containsSemiMixedTypes="0" containsString="0" containsNumber="1" containsInteger="1" minValue="0" maxValue="32"/>
    </cacheField>
    <cacheField name="Ocena" numFmtId="0">
      <sharedItems count="6">
        <s v="10"/>
        <s v="7"/>
        <s v="5"/>
        <s v="9"/>
        <s v="6"/>
        <s v="8"/>
      </sharedItems>
    </cacheField>
    <cacheField name="Skupno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s v="Bajec"/>
    <s v="Miran"/>
    <n v="20"/>
    <n v="36"/>
    <n v="12"/>
    <n v="32"/>
    <x v="0"/>
    <n v="100"/>
  </r>
  <r>
    <x v="1"/>
    <x v="1"/>
    <s v="Bajec"/>
    <s v="Oskar"/>
    <n v="18"/>
    <n v="34"/>
    <n v="12"/>
    <n v="27"/>
    <x v="0"/>
    <n v="91"/>
  </r>
  <r>
    <x v="2"/>
    <x v="0"/>
    <s v="Blažič"/>
    <s v="Jože"/>
    <n v="19"/>
    <n v="14"/>
    <n v="12"/>
    <n v="16"/>
    <x v="1"/>
    <n v="61"/>
  </r>
  <r>
    <x v="3"/>
    <x v="1"/>
    <s v="Bohinc"/>
    <s v="David"/>
    <n v="17"/>
    <n v="35"/>
    <n v="12"/>
    <n v="26"/>
    <x v="0"/>
    <n v="90"/>
  </r>
  <r>
    <x v="4"/>
    <x v="0"/>
    <s v="Bohinc"/>
    <s v="Lea"/>
    <n v="0"/>
    <n v="0"/>
    <n v="0"/>
    <n v="0"/>
    <x v="2"/>
    <n v="0"/>
  </r>
  <r>
    <x v="5"/>
    <x v="0"/>
    <s v="Božič"/>
    <s v="Herman"/>
    <n v="0"/>
    <n v="9"/>
    <n v="4"/>
    <n v="30"/>
    <x v="2"/>
    <n v="43"/>
  </r>
  <r>
    <x v="6"/>
    <x v="0"/>
    <s v="Božič"/>
    <s v="Katarina"/>
    <n v="14"/>
    <n v="34"/>
    <n v="12"/>
    <n v="29"/>
    <x v="3"/>
    <n v="89"/>
  </r>
  <r>
    <x v="7"/>
    <x v="0"/>
    <s v="Bregar"/>
    <s v="Lovro"/>
    <n v="20"/>
    <n v="35"/>
    <n v="12"/>
    <n v="32"/>
    <x v="0"/>
    <n v="99"/>
  </r>
  <r>
    <x v="8"/>
    <x v="1"/>
    <s v="Brezovar"/>
    <s v="Pavla"/>
    <n v="16"/>
    <n v="31"/>
    <n v="12"/>
    <n v="27"/>
    <x v="3"/>
    <n v="86"/>
  </r>
  <r>
    <x v="9"/>
    <x v="0"/>
    <s v="Brumen"/>
    <s v="Kristjan"/>
    <n v="18"/>
    <n v="30"/>
    <n v="12"/>
    <n v="30"/>
    <x v="0"/>
    <n v="90"/>
  </r>
  <r>
    <x v="10"/>
    <x v="2"/>
    <s v="Cerar"/>
    <s v="Ignac"/>
    <n v="16"/>
    <n v="27"/>
    <n v="9"/>
    <n v="28"/>
    <x v="3"/>
    <n v="80"/>
  </r>
  <r>
    <x v="11"/>
    <x v="0"/>
    <s v="Čepon"/>
    <s v="Tadej"/>
    <n v="11"/>
    <n v="17"/>
    <n v="0"/>
    <n v="6"/>
    <x v="2"/>
    <n v="34"/>
  </r>
  <r>
    <x v="12"/>
    <x v="1"/>
    <s v="Černe"/>
    <s v="Nina"/>
    <n v="17"/>
    <n v="34"/>
    <n v="12"/>
    <n v="28"/>
    <x v="0"/>
    <n v="91"/>
  </r>
  <r>
    <x v="13"/>
    <x v="0"/>
    <s v="Dolinar"/>
    <s v="Danica"/>
    <n v="19"/>
    <n v="37"/>
    <n v="12"/>
    <n v="32"/>
    <x v="0"/>
    <n v="100"/>
  </r>
  <r>
    <x v="14"/>
    <x v="0"/>
    <s v="Dolinar"/>
    <s v="Franci"/>
    <n v="20"/>
    <n v="24"/>
    <n v="0"/>
    <n v="18"/>
    <x v="1"/>
    <n v="62"/>
  </r>
  <r>
    <x v="15"/>
    <x v="0"/>
    <s v="Drobnič"/>
    <s v="Lidija"/>
    <n v="7"/>
    <n v="20"/>
    <n v="12"/>
    <n v="21"/>
    <x v="1"/>
    <n v="60"/>
  </r>
  <r>
    <x v="16"/>
    <x v="0"/>
    <s v="Fatur"/>
    <s v="Matija"/>
    <n v="13"/>
    <n v="18"/>
    <n v="0"/>
    <n v="28"/>
    <x v="4"/>
    <n v="59"/>
  </r>
  <r>
    <x v="17"/>
    <x v="2"/>
    <s v="Fink"/>
    <s v="Klara"/>
    <n v="14"/>
    <n v="32"/>
    <n v="12"/>
    <n v="29"/>
    <x v="3"/>
    <n v="87"/>
  </r>
  <r>
    <x v="18"/>
    <x v="2"/>
    <s v="Golob"/>
    <s v="Klemen"/>
    <n v="8"/>
    <n v="26"/>
    <n v="1"/>
    <n v="0"/>
    <x v="2"/>
    <n v="35"/>
  </r>
  <r>
    <x v="19"/>
    <x v="3"/>
    <s v="Golob"/>
    <s v="Maja"/>
    <n v="20"/>
    <n v="17"/>
    <n v="0"/>
    <n v="27"/>
    <x v="1"/>
    <n v="64"/>
  </r>
  <r>
    <x v="20"/>
    <x v="4"/>
    <s v="Gomboc"/>
    <s v="Rozalija"/>
    <n v="0"/>
    <n v="0"/>
    <n v="0"/>
    <n v="0"/>
    <x v="2"/>
    <n v="0"/>
  </r>
  <r>
    <x v="21"/>
    <x v="0"/>
    <s v="Gorenc"/>
    <s v="Primož"/>
    <n v="19"/>
    <n v="31"/>
    <n v="12"/>
    <n v="32"/>
    <x v="0"/>
    <n v="94"/>
  </r>
  <r>
    <x v="22"/>
    <x v="1"/>
    <s v="Gradišar"/>
    <s v="Miha"/>
    <n v="0"/>
    <n v="0"/>
    <n v="0"/>
    <n v="0"/>
    <x v="2"/>
    <n v="0"/>
  </r>
  <r>
    <x v="23"/>
    <x v="0"/>
    <s v="Gregorčič"/>
    <s v="Zoran"/>
    <n v="16"/>
    <n v="31"/>
    <n v="7"/>
    <n v="30"/>
    <x v="3"/>
    <n v="84"/>
  </r>
  <r>
    <x v="24"/>
    <x v="1"/>
    <s v="Gros"/>
    <s v="Bor"/>
    <n v="17"/>
    <n v="29"/>
    <n v="12"/>
    <n v="24"/>
    <x v="3"/>
    <n v="82"/>
  </r>
  <r>
    <x v="25"/>
    <x v="0"/>
    <s v="Gros"/>
    <s v="Žarko"/>
    <n v="19"/>
    <n v="28"/>
    <n v="12"/>
    <n v="26"/>
    <x v="3"/>
    <n v="85"/>
  </r>
  <r>
    <x v="26"/>
    <x v="4"/>
    <s v="Horvat"/>
    <s v="Benjamin"/>
    <n v="18"/>
    <n v="16"/>
    <n v="12"/>
    <n v="0"/>
    <x v="2"/>
    <n v="46"/>
  </r>
  <r>
    <x v="27"/>
    <x v="1"/>
    <s v="Horvat"/>
    <s v="Terezija"/>
    <n v="15"/>
    <n v="0"/>
    <n v="12"/>
    <n v="24"/>
    <x v="4"/>
    <n v="51"/>
  </r>
  <r>
    <x v="28"/>
    <x v="0"/>
    <s v="Hren"/>
    <s v="Jelka"/>
    <n v="11"/>
    <n v="22"/>
    <n v="1"/>
    <n v="25"/>
    <x v="4"/>
    <n v="59"/>
  </r>
  <r>
    <x v="29"/>
    <x v="1"/>
    <s v="Hribar"/>
    <s v="Tatjana"/>
    <n v="5"/>
    <n v="33"/>
    <n v="12"/>
    <n v="15"/>
    <x v="1"/>
    <n v="65"/>
  </r>
  <r>
    <x v="30"/>
    <x v="0"/>
    <s v="Hribar"/>
    <s v="Vid"/>
    <n v="18"/>
    <n v="35"/>
    <n v="12"/>
    <n v="32"/>
    <x v="0"/>
    <n v="97"/>
  </r>
  <r>
    <x v="31"/>
    <x v="0"/>
    <s v="Hrovat"/>
    <s v="Sebastjan"/>
    <n v="18"/>
    <n v="23"/>
    <n v="7"/>
    <n v="31"/>
    <x v="5"/>
    <n v="79"/>
  </r>
  <r>
    <x v="32"/>
    <x v="0"/>
    <s v="Jelen"/>
    <s v="Erik"/>
    <n v="17"/>
    <n v="36"/>
    <n v="12"/>
    <n v="30"/>
    <x v="0"/>
    <n v="95"/>
  </r>
  <r>
    <x v="33"/>
    <x v="1"/>
    <s v="Jelenko"/>
    <s v="Nikolaj"/>
    <n v="0"/>
    <n v="0"/>
    <n v="0"/>
    <n v="0"/>
    <x v="2"/>
    <n v="0"/>
  </r>
  <r>
    <x v="34"/>
    <x v="3"/>
    <s v="Jenko"/>
    <s v="Gabrijel"/>
    <n v="19"/>
    <n v="0"/>
    <n v="12"/>
    <n v="22"/>
    <x v="4"/>
    <n v="53"/>
  </r>
  <r>
    <x v="35"/>
    <x v="1"/>
    <s v="Jeram"/>
    <s v="Goran"/>
    <n v="18"/>
    <n v="35"/>
    <n v="12"/>
    <n v="26"/>
    <x v="0"/>
    <n v="91"/>
  </r>
  <r>
    <x v="36"/>
    <x v="1"/>
    <s v="Jereb"/>
    <s v="Robert"/>
    <n v="19"/>
    <n v="34"/>
    <n v="12"/>
    <n v="15"/>
    <x v="3"/>
    <n v="80"/>
  </r>
  <r>
    <x v="37"/>
    <x v="0"/>
    <s v="Jereb"/>
    <s v="Tina"/>
    <n v="19"/>
    <n v="20"/>
    <n v="0"/>
    <n v="21"/>
    <x v="1"/>
    <n v="60"/>
  </r>
  <r>
    <x v="38"/>
    <x v="0"/>
    <s v="Jernejc"/>
    <s v="Jernej"/>
    <n v="18"/>
    <n v="33"/>
    <n v="12"/>
    <n v="32"/>
    <x v="0"/>
    <n v="95"/>
  </r>
  <r>
    <x v="39"/>
    <x v="1"/>
    <s v="Kac"/>
    <s v="Emil"/>
    <n v="17"/>
    <n v="36"/>
    <n v="12"/>
    <n v="30"/>
    <x v="0"/>
    <n v="95"/>
  </r>
  <r>
    <x v="40"/>
    <x v="0"/>
    <s v="Kastelic"/>
    <s v="Rafael"/>
    <n v="8"/>
    <n v="3"/>
    <n v="0"/>
    <n v="0"/>
    <x v="2"/>
    <n v="11"/>
  </r>
  <r>
    <x v="41"/>
    <x v="0"/>
    <s v="Kavčič"/>
    <s v="Vita"/>
    <n v="16"/>
    <n v="9"/>
    <n v="0"/>
    <n v="13"/>
    <x v="2"/>
    <n v="38"/>
  </r>
  <r>
    <x v="42"/>
    <x v="1"/>
    <s v="Kebe"/>
    <s v="Hilda"/>
    <n v="15"/>
    <n v="19"/>
    <n v="12"/>
    <n v="26"/>
    <x v="5"/>
    <n v="72"/>
  </r>
  <r>
    <x v="43"/>
    <x v="2"/>
    <s v="Klemenčič"/>
    <s v="Aljaž"/>
    <n v="6"/>
    <n v="12"/>
    <n v="6"/>
    <n v="0"/>
    <x v="2"/>
    <n v="24"/>
  </r>
  <r>
    <x v="44"/>
    <x v="1"/>
    <s v="Klemenčič"/>
    <s v="Zdenka"/>
    <n v="18"/>
    <n v="23"/>
    <n v="0"/>
    <n v="19"/>
    <x v="1"/>
    <n v="60"/>
  </r>
  <r>
    <x v="45"/>
    <x v="1"/>
    <s v="Klešnik"/>
    <s v="Veronika"/>
    <n v="19"/>
    <n v="36"/>
    <n v="12"/>
    <n v="28"/>
    <x v="0"/>
    <n v="95"/>
  </r>
  <r>
    <x v="46"/>
    <x v="1"/>
    <s v="Klopčič"/>
    <s v="Denis"/>
    <n v="19"/>
    <n v="33"/>
    <n v="8"/>
    <n v="23"/>
    <x v="3"/>
    <n v="83"/>
  </r>
  <r>
    <x v="47"/>
    <x v="3"/>
    <s v="Kocjan"/>
    <s v="Branko"/>
    <n v="19"/>
    <n v="33"/>
    <n v="12"/>
    <n v="28"/>
    <x v="0"/>
    <n v="92"/>
  </r>
  <r>
    <x v="48"/>
    <x v="0"/>
    <s v="Kocjan"/>
    <s v="Domen"/>
    <n v="18"/>
    <n v="36"/>
    <n v="12"/>
    <n v="31"/>
    <x v="0"/>
    <n v="97"/>
  </r>
  <r>
    <x v="49"/>
    <x v="0"/>
    <s v="Kočevar"/>
    <s v="Alojz"/>
    <n v="19"/>
    <n v="36"/>
    <n v="12"/>
    <n v="32"/>
    <x v="0"/>
    <n v="99"/>
  </r>
  <r>
    <x v="50"/>
    <x v="0"/>
    <s v="Kolman"/>
    <s v="Irena"/>
    <n v="20"/>
    <n v="35"/>
    <n v="12"/>
    <n v="26"/>
    <x v="0"/>
    <n v="93"/>
  </r>
  <r>
    <x v="51"/>
    <x v="1"/>
    <s v="Korbar"/>
    <s v="Urška"/>
    <n v="18"/>
    <n v="11"/>
    <n v="12"/>
    <n v="29"/>
    <x v="5"/>
    <n v="70"/>
  </r>
  <r>
    <x v="52"/>
    <x v="1"/>
    <s v="Koren"/>
    <s v="Hedvika"/>
    <n v="14"/>
    <n v="25"/>
    <n v="12"/>
    <n v="28"/>
    <x v="5"/>
    <n v="79"/>
  </r>
  <r>
    <x v="53"/>
    <x v="1"/>
    <s v="Kos"/>
    <s v="Gizela"/>
    <n v="16"/>
    <n v="8"/>
    <n v="8"/>
    <n v="21"/>
    <x v="4"/>
    <n v="53"/>
  </r>
  <r>
    <x v="54"/>
    <x v="3"/>
    <s v="Kos"/>
    <s v="Jaka"/>
    <n v="0"/>
    <n v="0"/>
    <n v="0"/>
    <n v="0"/>
    <x v="2"/>
    <n v="0"/>
  </r>
  <r>
    <x v="55"/>
    <x v="1"/>
    <s v="Kotnik"/>
    <s v="Cene"/>
    <n v="17"/>
    <n v="21"/>
    <n v="12"/>
    <n v="25"/>
    <x v="5"/>
    <n v="75"/>
  </r>
  <r>
    <x v="56"/>
    <x v="1"/>
    <s v="Kotnik"/>
    <s v="Karmen"/>
    <n v="18"/>
    <n v="36"/>
    <n v="12"/>
    <n v="29"/>
    <x v="0"/>
    <n v="95"/>
  </r>
  <r>
    <x v="57"/>
    <x v="0"/>
    <s v="Kovačič"/>
    <s v="Cene"/>
    <n v="0"/>
    <n v="0"/>
    <n v="0"/>
    <n v="0"/>
    <x v="2"/>
    <n v="0"/>
  </r>
  <r>
    <x v="58"/>
    <x v="1"/>
    <s v="Kovačič"/>
    <s v="Vladimir"/>
    <n v="17"/>
    <n v="34"/>
    <n v="12"/>
    <n v="29"/>
    <x v="0"/>
    <n v="92"/>
  </r>
  <r>
    <x v="59"/>
    <x v="2"/>
    <s v="Kovšca"/>
    <s v="Izidor"/>
    <n v="17"/>
    <n v="32"/>
    <n v="12"/>
    <n v="25"/>
    <x v="3"/>
    <n v="86"/>
  </r>
  <r>
    <x v="60"/>
    <x v="1"/>
    <s v="Kralj"/>
    <s v="Damjan"/>
    <n v="11"/>
    <n v="25"/>
    <n v="10"/>
    <n v="26"/>
    <x v="5"/>
    <n v="72"/>
  </r>
  <r>
    <x v="61"/>
    <x v="0"/>
    <s v="Kralj"/>
    <s v="Grega"/>
    <n v="19"/>
    <n v="23"/>
    <n v="0"/>
    <n v="23"/>
    <x v="1"/>
    <n v="65"/>
  </r>
  <r>
    <x v="62"/>
    <x v="1"/>
    <s v="Krapež"/>
    <s v="Elizabeta"/>
    <n v="18"/>
    <n v="36"/>
    <n v="12"/>
    <n v="32"/>
    <x v="0"/>
    <n v="98"/>
  </r>
  <r>
    <x v="63"/>
    <x v="0"/>
    <s v="Kraševec"/>
    <s v="Albert"/>
    <n v="12"/>
    <n v="15"/>
    <n v="12"/>
    <n v="27"/>
    <x v="1"/>
    <n v="66"/>
  </r>
  <r>
    <x v="64"/>
    <x v="0"/>
    <s v="Krek"/>
    <s v="Renata"/>
    <n v="19"/>
    <n v="30"/>
    <n v="12"/>
    <n v="25"/>
    <x v="3"/>
    <n v="86"/>
  </r>
  <r>
    <x v="65"/>
    <x v="3"/>
    <s v="Krmelj"/>
    <s v="Marjan"/>
    <n v="20"/>
    <n v="36"/>
    <n v="12"/>
    <n v="31"/>
    <x v="0"/>
    <n v="99"/>
  </r>
  <r>
    <x v="66"/>
    <x v="1"/>
    <s v="Lebe"/>
    <s v="Natasa"/>
    <n v="19"/>
    <n v="27"/>
    <n v="12"/>
    <n v="12"/>
    <x v="5"/>
    <n v="70"/>
  </r>
  <r>
    <x v="67"/>
    <x v="0"/>
    <s v="Lebe"/>
    <s v="Petra"/>
    <n v="0"/>
    <n v="0"/>
    <n v="0"/>
    <n v="0"/>
    <x v="2"/>
    <n v="0"/>
  </r>
  <r>
    <x v="68"/>
    <x v="1"/>
    <s v="Lesjak"/>
    <s v="Samo"/>
    <n v="18"/>
    <n v="24"/>
    <n v="12"/>
    <n v="17"/>
    <x v="5"/>
    <n v="71"/>
  </r>
  <r>
    <x v="69"/>
    <x v="1"/>
    <s v="Lovšin"/>
    <s v="Polona"/>
    <n v="18"/>
    <n v="12"/>
    <n v="7"/>
    <n v="23"/>
    <x v="1"/>
    <n v="60"/>
  </r>
  <r>
    <x v="70"/>
    <x v="2"/>
    <s v="Lužar"/>
    <s v="Drago"/>
    <n v="19"/>
    <n v="30"/>
    <n v="12"/>
    <n v="15"/>
    <x v="5"/>
    <n v="76"/>
  </r>
  <r>
    <x v="71"/>
    <x v="3"/>
    <s v="Mahnič"/>
    <s v="Silvija"/>
    <n v="0"/>
    <n v="0"/>
    <n v="0"/>
    <n v="25"/>
    <x v="2"/>
    <n v="25"/>
  </r>
  <r>
    <x v="72"/>
    <x v="1"/>
    <s v="Mahnič"/>
    <s v="Urban"/>
    <n v="14"/>
    <n v="13"/>
    <n v="9"/>
    <n v="15"/>
    <x v="4"/>
    <n v="51"/>
  </r>
  <r>
    <x v="73"/>
    <x v="0"/>
    <s v="Marinšek"/>
    <s v="Gregor"/>
    <n v="20"/>
    <n v="36"/>
    <n v="12"/>
    <n v="30"/>
    <x v="0"/>
    <n v="98"/>
  </r>
  <r>
    <x v="74"/>
    <x v="1"/>
    <s v="Medved"/>
    <s v="Ana"/>
    <n v="18"/>
    <n v="36"/>
    <n v="12"/>
    <n v="28"/>
    <x v="0"/>
    <n v="94"/>
  </r>
  <r>
    <x v="75"/>
    <x v="0"/>
    <s v="Medved"/>
    <s v="Ivan"/>
    <n v="18"/>
    <n v="30"/>
    <n v="12"/>
    <n v="32"/>
    <x v="0"/>
    <n v="92"/>
  </r>
  <r>
    <x v="76"/>
    <x v="1"/>
    <s v="Meglič"/>
    <s v="Fani"/>
    <n v="16"/>
    <n v="6"/>
    <n v="10"/>
    <n v="22"/>
    <x v="4"/>
    <n v="54"/>
  </r>
  <r>
    <x v="77"/>
    <x v="1"/>
    <s v="Miklavčič"/>
    <s v="Špela"/>
    <n v="17"/>
    <n v="30"/>
    <n v="9"/>
    <n v="20"/>
    <x v="5"/>
    <n v="76"/>
  </r>
  <r>
    <x v="78"/>
    <x v="0"/>
    <s v="Miklič"/>
    <s v="Erna"/>
    <n v="18"/>
    <n v="32"/>
    <n v="12"/>
    <n v="32"/>
    <x v="0"/>
    <n v="94"/>
  </r>
  <r>
    <x v="79"/>
    <x v="1"/>
    <s v="Miklič"/>
    <s v="Gal"/>
    <n v="0"/>
    <n v="0"/>
    <n v="0"/>
    <n v="24"/>
    <x v="2"/>
    <n v="24"/>
  </r>
  <r>
    <x v="80"/>
    <x v="4"/>
    <s v="Mlakar"/>
    <s v="David"/>
    <n v="15"/>
    <n v="0"/>
    <n v="12"/>
    <n v="13"/>
    <x v="2"/>
    <n v="40"/>
  </r>
  <r>
    <x v="81"/>
    <x v="0"/>
    <s v="Mlakar"/>
    <s v="Zvonko"/>
    <n v="18"/>
    <n v="32"/>
    <n v="12"/>
    <n v="28"/>
    <x v="0"/>
    <n v="90"/>
  </r>
  <r>
    <x v="82"/>
    <x v="2"/>
    <s v="Modic"/>
    <s v="Niko"/>
    <n v="17"/>
    <n v="29"/>
    <n v="12"/>
    <n v="22"/>
    <x v="3"/>
    <n v="80"/>
  </r>
  <r>
    <x v="83"/>
    <x v="1"/>
    <s v="Mravljak"/>
    <s v="Ljubica"/>
    <n v="15"/>
    <n v="27"/>
    <n v="0"/>
    <n v="30"/>
    <x v="5"/>
    <n v="72"/>
  </r>
  <r>
    <x v="84"/>
    <x v="1"/>
    <s v="Murn"/>
    <s v="Olga"/>
    <n v="20"/>
    <n v="31"/>
    <n v="12"/>
    <n v="30"/>
    <x v="0"/>
    <n v="93"/>
  </r>
  <r>
    <x v="85"/>
    <x v="1"/>
    <s v="Murn"/>
    <s v="Rok"/>
    <n v="15"/>
    <n v="31"/>
    <n v="9"/>
    <n v="27"/>
    <x v="3"/>
    <n v="82"/>
  </r>
  <r>
    <x v="86"/>
    <x v="1"/>
    <s v="Novak"/>
    <s v="Ana"/>
    <n v="13"/>
    <n v="27"/>
    <n v="12"/>
    <n v="25"/>
    <x v="5"/>
    <n v="77"/>
  </r>
  <r>
    <x v="87"/>
    <x v="1"/>
    <s v="Novak"/>
    <s v="Silva"/>
    <n v="19"/>
    <n v="19"/>
    <n v="7"/>
    <n v="20"/>
    <x v="1"/>
    <n v="65"/>
  </r>
  <r>
    <x v="88"/>
    <x v="0"/>
    <s v="Oblak"/>
    <s v="Pia"/>
    <n v="20"/>
    <n v="36"/>
    <n v="12"/>
    <n v="32"/>
    <x v="0"/>
    <n v="100"/>
  </r>
  <r>
    <x v="89"/>
    <x v="1"/>
    <s v="Oblak"/>
    <s v="Sara"/>
    <n v="14"/>
    <n v="22"/>
    <n v="12"/>
    <n v="27"/>
    <x v="5"/>
    <n v="75"/>
  </r>
  <r>
    <x v="90"/>
    <x v="1"/>
    <s v="Pavlič"/>
    <s v="Teja"/>
    <n v="19"/>
    <n v="33"/>
    <n v="12"/>
    <n v="26"/>
    <x v="0"/>
    <n v="90"/>
  </r>
  <r>
    <x v="91"/>
    <x v="1"/>
    <s v="Pavlin"/>
    <s v="Brina"/>
    <n v="0"/>
    <n v="0"/>
    <n v="0"/>
    <n v="0"/>
    <x v="2"/>
    <n v="0"/>
  </r>
  <r>
    <x v="92"/>
    <x v="0"/>
    <s v="Pečar"/>
    <s v="Alenka"/>
    <n v="20"/>
    <n v="36"/>
    <n v="12"/>
    <n v="32"/>
    <x v="0"/>
    <n v="100"/>
  </r>
  <r>
    <x v="93"/>
    <x v="1"/>
    <s v="Pečar"/>
    <s v="Ciril"/>
    <n v="9"/>
    <n v="18"/>
    <n v="8"/>
    <n v="21"/>
    <x v="4"/>
    <n v="56"/>
  </r>
  <r>
    <x v="94"/>
    <x v="1"/>
    <s v="Petan"/>
    <s v="Otilija"/>
    <n v="18"/>
    <n v="30"/>
    <n v="12"/>
    <n v="23"/>
    <x v="3"/>
    <n v="83"/>
  </r>
  <r>
    <x v="95"/>
    <x v="1"/>
    <s v="Petrović"/>
    <s v="Jasminka"/>
    <n v="18"/>
    <n v="32"/>
    <n v="12"/>
    <n v="29"/>
    <x v="0"/>
    <n v="91"/>
  </r>
  <r>
    <x v="96"/>
    <x v="1"/>
    <s v="Petrović"/>
    <s v="Luka"/>
    <n v="16"/>
    <n v="10"/>
    <n v="0"/>
    <n v="26"/>
    <x v="4"/>
    <n v="52"/>
  </r>
  <r>
    <x v="97"/>
    <x v="1"/>
    <s v="Pintar"/>
    <s v="Hugo"/>
    <n v="19"/>
    <n v="34"/>
    <n v="12"/>
    <n v="29"/>
    <x v="0"/>
    <n v="94"/>
  </r>
  <r>
    <x v="98"/>
    <x v="0"/>
    <s v="Pirc"/>
    <s v="Neža"/>
    <n v="19"/>
    <n v="36"/>
    <n v="12"/>
    <n v="32"/>
    <x v="0"/>
    <n v="99"/>
  </r>
  <r>
    <x v="99"/>
    <x v="0"/>
    <s v="Plestenjak"/>
    <s v="Rajko"/>
    <n v="18"/>
    <n v="35"/>
    <n v="12"/>
    <n v="30"/>
    <x v="0"/>
    <n v="95"/>
  </r>
  <r>
    <x v="100"/>
    <x v="1"/>
    <s v="Potočnik"/>
    <s v="Bojan"/>
    <n v="18"/>
    <n v="34"/>
    <n v="12"/>
    <n v="30"/>
    <x v="0"/>
    <n v="94"/>
  </r>
  <r>
    <x v="101"/>
    <x v="3"/>
    <s v="Potočnik"/>
    <s v="Filip"/>
    <n v="18"/>
    <n v="25"/>
    <n v="12"/>
    <n v="31"/>
    <x v="3"/>
    <n v="86"/>
  </r>
  <r>
    <x v="102"/>
    <x v="1"/>
    <s v="Ramšak"/>
    <s v="Barbara"/>
    <n v="19"/>
    <n v="30"/>
    <n v="12"/>
    <n v="24"/>
    <x v="3"/>
    <n v="85"/>
  </r>
  <r>
    <x v="103"/>
    <x v="0"/>
    <s v="Resnik"/>
    <s v="Metka"/>
    <n v="0"/>
    <n v="0"/>
    <n v="0"/>
    <n v="25"/>
    <x v="2"/>
    <n v="25"/>
  </r>
  <r>
    <x v="104"/>
    <x v="1"/>
    <s v="Rotar"/>
    <s v="Val"/>
    <n v="19"/>
    <n v="34"/>
    <n v="12"/>
    <n v="26"/>
    <x v="0"/>
    <n v="91"/>
  </r>
  <r>
    <x v="105"/>
    <x v="1"/>
    <s v="Rozman"/>
    <s v="Benjamin"/>
    <n v="16"/>
    <n v="29"/>
    <n v="12"/>
    <n v="17"/>
    <x v="5"/>
    <n v="74"/>
  </r>
  <r>
    <x v="106"/>
    <x v="0"/>
    <s v="Rozman"/>
    <s v="Jan"/>
    <n v="18"/>
    <n v="36"/>
    <n v="12"/>
    <n v="32"/>
    <x v="0"/>
    <n v="98"/>
  </r>
  <r>
    <x v="107"/>
    <x v="0"/>
    <s v="Rupnik"/>
    <s v="Lidija"/>
    <n v="13"/>
    <n v="22"/>
    <n v="5"/>
    <n v="30"/>
    <x v="5"/>
    <n v="70"/>
  </r>
  <r>
    <x v="108"/>
    <x v="0"/>
    <s v="Rupnik"/>
    <s v="Nik"/>
    <n v="20"/>
    <n v="36"/>
    <n v="12"/>
    <n v="30"/>
    <x v="0"/>
    <n v="98"/>
  </r>
  <r>
    <x v="109"/>
    <x v="0"/>
    <s v="Sever"/>
    <s v="Francis"/>
    <n v="10"/>
    <n v="17"/>
    <n v="0"/>
    <n v="18"/>
    <x v="2"/>
    <n v="45"/>
  </r>
  <r>
    <x v="110"/>
    <x v="1"/>
    <s v="Sever"/>
    <s v="Helena"/>
    <n v="0"/>
    <n v="0"/>
    <n v="0"/>
    <n v="0"/>
    <x v="2"/>
    <n v="0"/>
  </r>
  <r>
    <x v="111"/>
    <x v="0"/>
    <s v="Slapar"/>
    <s v="Patrik"/>
    <n v="0"/>
    <n v="3"/>
    <n v="0"/>
    <n v="0"/>
    <x v="2"/>
    <n v="3"/>
  </r>
  <r>
    <x v="112"/>
    <x v="1"/>
    <s v="Slivnik"/>
    <s v="Živa"/>
    <n v="10"/>
    <n v="31"/>
    <n v="12"/>
    <n v="27"/>
    <x v="3"/>
    <n v="80"/>
  </r>
  <r>
    <x v="113"/>
    <x v="1"/>
    <s v="Šinkovec"/>
    <s v="Uroš"/>
    <n v="0"/>
    <n v="33"/>
    <n v="0"/>
    <n v="29"/>
    <x v="1"/>
    <n v="62"/>
  </r>
  <r>
    <x v="114"/>
    <x v="0"/>
    <s v="Škrlj"/>
    <s v="Cvetka"/>
    <n v="18"/>
    <n v="31"/>
    <n v="11"/>
    <n v="27"/>
    <x v="3"/>
    <n v="87"/>
  </r>
  <r>
    <x v="115"/>
    <x v="0"/>
    <s v="Štrukelj"/>
    <s v="Vesna"/>
    <n v="20"/>
    <n v="32"/>
    <n v="8"/>
    <n v="24"/>
    <x v="3"/>
    <n v="84"/>
  </r>
  <r>
    <x v="116"/>
    <x v="1"/>
    <s v="Štrukelj"/>
    <s v="Zala"/>
    <n v="0"/>
    <n v="0"/>
    <n v="0"/>
    <n v="0"/>
    <x v="2"/>
    <n v="0"/>
  </r>
  <r>
    <x v="117"/>
    <x v="0"/>
    <s v="Tavčar"/>
    <s v="Franc"/>
    <n v="10"/>
    <n v="15"/>
    <n v="9"/>
    <n v="29"/>
    <x v="1"/>
    <n v="63"/>
  </r>
  <r>
    <x v="118"/>
    <x v="1"/>
    <s v="Tomažič"/>
    <s v="Oto"/>
    <n v="0"/>
    <n v="13"/>
    <n v="0"/>
    <n v="23"/>
    <x v="2"/>
    <n v="36"/>
  </r>
  <r>
    <x v="119"/>
    <x v="1"/>
    <s v="Tomšič"/>
    <s v="Žiga"/>
    <n v="16"/>
    <n v="33"/>
    <n v="12"/>
    <n v="28"/>
    <x v="3"/>
    <n v="89"/>
  </r>
  <r>
    <x v="120"/>
    <x v="1"/>
    <s v="Trontelj"/>
    <s v="Tamara"/>
    <n v="19"/>
    <n v="24"/>
    <n v="12"/>
    <n v="29"/>
    <x v="3"/>
    <n v="84"/>
  </r>
  <r>
    <x v="121"/>
    <x v="2"/>
    <s v="Turk"/>
    <s v="Feliks"/>
    <n v="19"/>
    <n v="24"/>
    <n v="12"/>
    <n v="15"/>
    <x v="5"/>
    <n v="70"/>
  </r>
  <r>
    <x v="122"/>
    <x v="1"/>
    <s v="Turk"/>
    <s v="Iza"/>
    <n v="17"/>
    <n v="19"/>
    <n v="12"/>
    <n v="28"/>
    <x v="5"/>
    <n v="76"/>
  </r>
  <r>
    <x v="123"/>
    <x v="0"/>
    <s v="Verbič"/>
    <s v="Blaž"/>
    <n v="17"/>
    <n v="35"/>
    <n v="12"/>
    <n v="32"/>
    <x v="0"/>
    <n v="96"/>
  </r>
  <r>
    <x v="124"/>
    <x v="2"/>
    <s v="Vidmar"/>
    <s v="Egon"/>
    <n v="0"/>
    <n v="9"/>
    <n v="9"/>
    <n v="17"/>
    <x v="2"/>
    <n v="35"/>
  </r>
  <r>
    <x v="125"/>
    <x v="0"/>
    <s v="Vidmar"/>
    <s v="Hana"/>
    <n v="20"/>
    <n v="35"/>
    <n v="12"/>
    <n v="29"/>
    <x v="0"/>
    <n v="96"/>
  </r>
  <r>
    <x v="126"/>
    <x v="4"/>
    <s v="Vilhar"/>
    <s v="Karol"/>
    <n v="0"/>
    <n v="0"/>
    <n v="0"/>
    <n v="0"/>
    <x v="2"/>
    <n v="0"/>
  </r>
  <r>
    <x v="127"/>
    <x v="0"/>
    <s v="Vovk"/>
    <s v="Cecilija"/>
    <n v="20"/>
    <n v="36"/>
    <n v="12"/>
    <n v="27"/>
    <x v="0"/>
    <n v="95"/>
  </r>
  <r>
    <x v="128"/>
    <x v="0"/>
    <s v="Zajc"/>
    <s v="Cene"/>
    <n v="0"/>
    <n v="7"/>
    <n v="0"/>
    <n v="16"/>
    <x v="2"/>
    <n v="23"/>
  </r>
  <r>
    <x v="129"/>
    <x v="0"/>
    <s v="Zajc"/>
    <s v="Ema"/>
    <n v="19"/>
    <n v="32"/>
    <n v="9"/>
    <n v="19"/>
    <x v="5"/>
    <n v="79"/>
  </r>
  <r>
    <x v="130"/>
    <x v="0"/>
    <s v="Zupan"/>
    <s v="Eva"/>
    <n v="15"/>
    <n v="36"/>
    <n v="12"/>
    <n v="32"/>
    <x v="0"/>
    <n v="95"/>
  </r>
  <r>
    <x v="131"/>
    <x v="1"/>
    <s v="Zupan"/>
    <s v="Željka"/>
    <n v="18"/>
    <n v="17"/>
    <n v="12"/>
    <n v="23"/>
    <x v="5"/>
    <n v="70"/>
  </r>
  <r>
    <x v="132"/>
    <x v="2"/>
    <s v="Zupanc"/>
    <s v="Darja"/>
    <n v="20"/>
    <n v="36"/>
    <n v="12"/>
    <n v="31"/>
    <x v="0"/>
    <n v="99"/>
  </r>
  <r>
    <x v="133"/>
    <x v="3"/>
    <s v="Žagar"/>
    <s v="Žan"/>
    <n v="20"/>
    <n v="33"/>
    <n v="12"/>
    <n v="30"/>
    <x v="0"/>
    <n v="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E6A1C-C8EA-4D9D-92B9-439D9B1BF8DE}" name="Vrtilna tabela1" cacheId="5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O14:U22" firstHeaderRow="1" firstDataRow="2" firstDataCol="1"/>
  <pivotFields count="10">
    <pivotField showAll="0">
      <items count="135">
        <item x="40"/>
        <item x="131"/>
        <item x="27"/>
        <item x="65"/>
        <item x="37"/>
        <item x="52"/>
        <item x="96"/>
        <item x="81"/>
        <item x="47"/>
        <item x="113"/>
        <item x="6"/>
        <item x="44"/>
        <item x="29"/>
        <item x="127"/>
        <item x="123"/>
        <item x="77"/>
        <item x="68"/>
        <item x="98"/>
        <item x="130"/>
        <item x="95"/>
        <item x="25"/>
        <item x="110"/>
        <item x="125"/>
        <item x="106"/>
        <item x="9"/>
        <item x="79"/>
        <item x="48"/>
        <item x="12"/>
        <item x="78"/>
        <item x="73"/>
        <item x="17"/>
        <item x="8"/>
        <item x="91"/>
        <item x="45"/>
        <item x="72"/>
        <item x="30"/>
        <item x="101"/>
        <item x="108"/>
        <item x="59"/>
        <item x="121"/>
        <item x="82"/>
        <item x="54"/>
        <item x="19"/>
        <item x="28"/>
        <item x="116"/>
        <item x="14"/>
        <item x="4"/>
        <item x="11"/>
        <item x="57"/>
        <item x="34"/>
        <item x="49"/>
        <item x="16"/>
        <item x="51"/>
        <item x="53"/>
        <item x="76"/>
        <item x="10"/>
        <item x="107"/>
        <item x="5"/>
        <item x="75"/>
        <item x="38"/>
        <item x="112"/>
        <item x="22"/>
        <item x="50"/>
        <item x="117"/>
        <item x="69"/>
        <item x="70"/>
        <item x="115"/>
        <item x="88"/>
        <item x="128"/>
        <item x="104"/>
        <item x="61"/>
        <item x="84"/>
        <item x="41"/>
        <item x="56"/>
        <item x="118"/>
        <item x="89"/>
        <item x="18"/>
        <item x="60"/>
        <item x="31"/>
        <item x="46"/>
        <item x="111"/>
        <item x="24"/>
        <item x="13"/>
        <item x="103"/>
        <item x="32"/>
        <item x="133"/>
        <item x="92"/>
        <item x="42"/>
        <item x="33"/>
        <item x="132"/>
        <item x="3"/>
        <item x="62"/>
        <item x="122"/>
        <item x="129"/>
        <item x="109"/>
        <item x="74"/>
        <item x="67"/>
        <item x="66"/>
        <item x="97"/>
        <item x="71"/>
        <item x="23"/>
        <item x="36"/>
        <item x="1"/>
        <item x="93"/>
        <item x="119"/>
        <item x="85"/>
        <item x="15"/>
        <item x="21"/>
        <item x="120"/>
        <item x="90"/>
        <item x="99"/>
        <item x="7"/>
        <item x="64"/>
        <item x="94"/>
        <item x="114"/>
        <item x="58"/>
        <item x="86"/>
        <item x="55"/>
        <item x="63"/>
        <item x="83"/>
        <item x="43"/>
        <item x="35"/>
        <item x="124"/>
        <item x="105"/>
        <item x="2"/>
        <item x="102"/>
        <item x="100"/>
        <item x="0"/>
        <item x="39"/>
        <item x="87"/>
        <item x="80"/>
        <item x="126"/>
        <item x="26"/>
        <item x="20"/>
        <item t="default"/>
      </items>
    </pivotField>
    <pivotField axis="axisCol" showAll="0" sumSubtotal="1">
      <items count="6">
        <item x="4"/>
        <item x="3"/>
        <item x="1"/>
        <item x="0"/>
        <item x="2"/>
        <item t="sum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0"/>
        <item x="2"/>
        <item x="4"/>
        <item x="1"/>
        <item x="5"/>
        <item x="3"/>
        <item t="default"/>
      </items>
    </pivotField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Štetje od Ocena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3EC283-7680-40B9-B8BF-536FA2E61C23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Vpisna" tableColumnId="1"/>
      <queryTableField id="2" name="Program" tableColumnId="2"/>
      <queryTableField id="3" name="Priimek" tableColumnId="3"/>
      <queryTableField id="4" name="Ime" tableColumnId="4"/>
      <queryTableField id="5" name="HTML" tableColumnId="5"/>
      <queryTableField id="6" name="LaTeX" tableColumnId="6"/>
      <queryTableField id="7" name="Excel" tableColumnId="7"/>
      <queryTableField id="8" name="Mathematica" tableColumnId="8"/>
      <queryTableField id="10" dataBound="0" tableColumnId="16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220488-1E64-4D19-AECF-E3337BB3189C}" name="vhodni_podatki" displayName="vhodni_podatki" ref="A1:J135" tableType="queryTable" totalsRowShown="0">
  <autoFilter ref="A1:J135" xr:uid="{E9220488-1E64-4D19-AECF-E3337BB3189C}"/>
  <sortState xmlns:xlrd2="http://schemas.microsoft.com/office/spreadsheetml/2017/richdata2" ref="A2:H135">
    <sortCondition ref="C2:C135"/>
  </sortState>
  <tableColumns count="10">
    <tableColumn id="1" xr3:uid="{5FAEE9CB-3B55-430E-B2FD-B4FD9E402C9C}" uniqueName="1" name="Vpisna" queryTableFieldId="1"/>
    <tableColumn id="2" xr3:uid="{0792B5CB-0C9E-4F9F-9DB3-9D0512D9713F}" uniqueName="2" name="Program" queryTableFieldId="2" dataDxfId="10"/>
    <tableColumn id="3" xr3:uid="{2FE5E0F9-53B0-40A4-8945-6CE298C32BB9}" uniqueName="3" name="Priimek" queryTableFieldId="3" dataDxfId="9"/>
    <tableColumn id="4" xr3:uid="{D5C5B7DC-0B54-47D5-A580-8FE90CDF2961}" uniqueName="4" name="Ime" queryTableFieldId="4" dataDxfId="8"/>
    <tableColumn id="5" xr3:uid="{B66CE34B-B77C-417C-BA4F-31F9EAF94253}" uniqueName="5" name="HTML" queryTableFieldId="5"/>
    <tableColumn id="6" xr3:uid="{28C67AD1-17D3-429E-9450-9A0956BB018A}" uniqueName="6" name="LaTeX" queryTableFieldId="6"/>
    <tableColumn id="7" xr3:uid="{D97BE73D-F391-4FE9-AB0F-D74C5B395401}" uniqueName="7" name="Excel" queryTableFieldId="7"/>
    <tableColumn id="8" xr3:uid="{A6C5472E-0041-4B54-8392-70A7F9229668}" uniqueName="8" name="Mathematica" queryTableFieldId="8"/>
    <tableColumn id="16" xr3:uid="{28D9F1A7-07C3-4156-A3B1-C9D5D0E9FB1F}" uniqueName="16" name="Ocena" queryTableFieldId="10" dataDxfId="0">
      <calculatedColumnFormula array="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calculatedColumnFormula>
    </tableColumn>
    <tableColumn id="9" xr3:uid="{DAA68531-3248-4960-BF6F-D9AB0EE4D67C}" uniqueName="9" name="Skupno" queryTableFieldId="9" dataDxfId="7">
      <calculatedColumnFormula>vhodni_podatki[[#This Row],[HTML]]+vhodni_podatki[[#This Row],[LaTeX]]+vhodni_podatki[[#This Row],[Excel]]+vhodni_podatki[[#This Row],[Mathematica]]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943B-B026-4133-9573-3FEF5AECB1D7}">
  <dimension ref="A1:U135"/>
  <sheetViews>
    <sheetView tabSelected="1" workbookViewId="0">
      <selection activeCell="O14" sqref="O14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3" width="10.140625" bestFit="1" customWidth="1"/>
    <col min="4" max="4" width="9.7109375" bestFit="1" customWidth="1"/>
    <col min="5" max="5" width="8.28515625" bestFit="1" customWidth="1"/>
    <col min="6" max="6" width="8.5703125" bestFit="1" customWidth="1"/>
    <col min="7" max="7" width="8.140625" bestFit="1" customWidth="1"/>
    <col min="8" max="8" width="14.85546875" bestFit="1" customWidth="1"/>
    <col min="15" max="15" width="15.42578125" bestFit="1" customWidth="1"/>
    <col min="16" max="16" width="18.140625" bestFit="1" customWidth="1"/>
    <col min="17" max="17" width="4.85546875" bestFit="1" customWidth="1"/>
    <col min="18" max="18" width="4" bestFit="1" customWidth="1"/>
    <col min="19" max="20" width="4.7109375" bestFit="1" customWidth="1"/>
    <col min="21" max="21" width="12.85546875" bestFit="1" customWidth="1"/>
    <col min="22" max="28" width="9" bestFit="1" customWidth="1"/>
    <col min="29" max="29" width="10.28515625" bestFit="1" customWidth="1"/>
    <col min="30" max="87" width="9" bestFit="1" customWidth="1"/>
    <col min="88" max="88" width="9.42578125" bestFit="1" customWidth="1"/>
    <col min="89" max="142" width="9" bestFit="1" customWidth="1"/>
    <col min="143" max="143" width="10.140625" bestFit="1" customWidth="1"/>
    <col min="144" max="153" width="9" bestFit="1" customWidth="1"/>
    <col min="154" max="154" width="10.140625" bestFit="1" customWidth="1"/>
    <col min="155" max="155" width="12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242</v>
      </c>
      <c r="J1" t="s">
        <v>241</v>
      </c>
    </row>
    <row r="2" spans="1:21" x14ac:dyDescent="0.25">
      <c r="A2">
        <v>27242984</v>
      </c>
      <c r="B2" s="1" t="s">
        <v>8</v>
      </c>
      <c r="C2" s="1" t="s">
        <v>193</v>
      </c>
      <c r="D2" s="1" t="s">
        <v>232</v>
      </c>
      <c r="E2">
        <v>20</v>
      </c>
      <c r="F2">
        <v>36</v>
      </c>
      <c r="G2">
        <v>12</v>
      </c>
      <c r="H2">
        <v>32</v>
      </c>
      <c r="I2" t="str" cm="1">
        <f t="array" ref="I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2">
        <f>vhodni_podatki[[#This Row],[HTML]]+vhodni_podatki[[#This Row],[LaTeX]]+vhodni_podatki[[#This Row],[Excel]]+vhodni_podatki[[#This Row],[Mathematica]]</f>
        <v>100</v>
      </c>
    </row>
    <row r="3" spans="1:21" x14ac:dyDescent="0.25">
      <c r="A3">
        <v>27242820</v>
      </c>
      <c r="B3" s="1" t="s">
        <v>11</v>
      </c>
      <c r="C3" s="1" t="s">
        <v>193</v>
      </c>
      <c r="D3" s="1" t="s">
        <v>194</v>
      </c>
      <c r="E3">
        <v>18</v>
      </c>
      <c r="F3">
        <v>34</v>
      </c>
      <c r="G3">
        <v>12</v>
      </c>
      <c r="H3">
        <v>27</v>
      </c>
      <c r="I3" t="str" cm="1">
        <f t="array" ref="I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3">
        <f>vhodni_podatki[[#This Row],[HTML]]+vhodni_podatki[[#This Row],[LaTeX]]+vhodni_podatki[[#This Row],[Excel]]+vhodni_podatki[[#This Row],[Mathematica]]</f>
        <v>91</v>
      </c>
    </row>
    <row r="4" spans="1:21" x14ac:dyDescent="0.25">
      <c r="A4">
        <v>27242965</v>
      </c>
      <c r="B4" s="1" t="s">
        <v>8</v>
      </c>
      <c r="C4" s="1" t="s">
        <v>227</v>
      </c>
      <c r="D4" s="1" t="s">
        <v>228</v>
      </c>
      <c r="E4">
        <v>19</v>
      </c>
      <c r="F4">
        <v>14</v>
      </c>
      <c r="G4">
        <v>12</v>
      </c>
      <c r="H4">
        <v>16</v>
      </c>
      <c r="I4" t="str" cm="1">
        <f t="array" ref="I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4">
        <f>vhodni_podatki[[#This Row],[HTML]]+vhodni_podatki[[#This Row],[LaTeX]]+vhodni_podatki[[#This Row],[Excel]]+vhodni_podatki[[#This Row],[Mathematica]]</f>
        <v>61</v>
      </c>
    </row>
    <row r="5" spans="1:21" x14ac:dyDescent="0.25">
      <c r="A5">
        <v>27242701</v>
      </c>
      <c r="B5" s="1" t="s">
        <v>11</v>
      </c>
      <c r="C5" s="1" t="s">
        <v>99</v>
      </c>
      <c r="D5" s="1" t="s">
        <v>177</v>
      </c>
      <c r="E5">
        <v>17</v>
      </c>
      <c r="F5">
        <v>35</v>
      </c>
      <c r="G5">
        <v>12</v>
      </c>
      <c r="H5">
        <v>26</v>
      </c>
      <c r="I5" t="str" cm="1">
        <f t="array" ref="I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5">
        <f>vhodni_podatki[[#This Row],[HTML]]+vhodni_podatki[[#This Row],[LaTeX]]+vhodni_podatki[[#This Row],[Excel]]+vhodni_podatki[[#This Row],[Mathematica]]</f>
        <v>90</v>
      </c>
    </row>
    <row r="6" spans="1:21" x14ac:dyDescent="0.25">
      <c r="A6">
        <v>27242370</v>
      </c>
      <c r="B6" s="1" t="s">
        <v>8</v>
      </c>
      <c r="C6" s="1" t="s">
        <v>99</v>
      </c>
      <c r="D6" s="1" t="s">
        <v>100</v>
      </c>
      <c r="E6">
        <v>0</v>
      </c>
      <c r="F6">
        <v>0</v>
      </c>
      <c r="G6">
        <v>0</v>
      </c>
      <c r="H6">
        <v>0</v>
      </c>
      <c r="I6" s="1" t="str" cm="1">
        <f t="array" ref="I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6">
        <f>vhodni_podatki[[#This Row],[HTML]]+vhodni_podatki[[#This Row],[LaTeX]]+vhodni_podatki[[#This Row],[Excel]]+vhodni_podatki[[#This Row],[Mathematica]]</f>
        <v>0</v>
      </c>
    </row>
    <row r="7" spans="1:21" x14ac:dyDescent="0.25">
      <c r="A7">
        <v>27242440</v>
      </c>
      <c r="B7" s="1" t="s">
        <v>8</v>
      </c>
      <c r="C7" s="1" t="s">
        <v>31</v>
      </c>
      <c r="D7" s="1" t="s">
        <v>119</v>
      </c>
      <c r="E7">
        <v>0</v>
      </c>
      <c r="F7">
        <v>9</v>
      </c>
      <c r="G7">
        <v>4</v>
      </c>
      <c r="H7">
        <v>30</v>
      </c>
      <c r="I7" t="str" cm="1">
        <f t="array" ref="I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7">
        <f>vhodni_podatki[[#This Row],[HTML]]+vhodni_podatki[[#This Row],[LaTeX]]+vhodni_podatki[[#This Row],[Excel]]+vhodni_podatki[[#This Row],[Mathematica]]</f>
        <v>43</v>
      </c>
    </row>
    <row r="8" spans="1:21" x14ac:dyDescent="0.25">
      <c r="A8">
        <v>27242091</v>
      </c>
      <c r="B8" s="1" t="s">
        <v>8</v>
      </c>
      <c r="C8" s="1" t="s">
        <v>31</v>
      </c>
      <c r="D8" s="1" t="s">
        <v>32</v>
      </c>
      <c r="E8">
        <v>14</v>
      </c>
      <c r="F8">
        <v>34</v>
      </c>
      <c r="G8">
        <v>12</v>
      </c>
      <c r="H8">
        <v>29</v>
      </c>
      <c r="I8" t="str" cm="1">
        <f t="array" ref="I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8">
        <f>vhodni_podatki[[#This Row],[HTML]]+vhodni_podatki[[#This Row],[LaTeX]]+vhodni_podatki[[#This Row],[Excel]]+vhodni_podatki[[#This Row],[Mathematica]]</f>
        <v>89</v>
      </c>
    </row>
    <row r="9" spans="1:21" x14ac:dyDescent="0.25">
      <c r="A9">
        <v>27242906</v>
      </c>
      <c r="B9" s="1" t="s">
        <v>8</v>
      </c>
      <c r="C9" s="1" t="s">
        <v>208</v>
      </c>
      <c r="D9" s="1" t="s">
        <v>209</v>
      </c>
      <c r="E9">
        <v>20</v>
      </c>
      <c r="F9">
        <v>35</v>
      </c>
      <c r="G9">
        <v>12</v>
      </c>
      <c r="H9">
        <v>32</v>
      </c>
      <c r="I9" t="str" cm="1">
        <f t="array" ref="I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9">
        <f>vhodni_podatki[[#This Row],[HTML]]+vhodni_podatki[[#This Row],[LaTeX]]+vhodni_podatki[[#This Row],[Excel]]+vhodni_podatki[[#This Row],[Mathematica]]</f>
        <v>99</v>
      </c>
    </row>
    <row r="10" spans="1:21" x14ac:dyDescent="0.25">
      <c r="A10">
        <v>27242250</v>
      </c>
      <c r="B10" s="1" t="s">
        <v>11</v>
      </c>
      <c r="C10" s="1" t="s">
        <v>70</v>
      </c>
      <c r="D10" s="1" t="s">
        <v>71</v>
      </c>
      <c r="E10">
        <v>16</v>
      </c>
      <c r="F10">
        <v>31</v>
      </c>
      <c r="G10">
        <v>12</v>
      </c>
      <c r="H10">
        <v>27</v>
      </c>
      <c r="I10" t="str" cm="1">
        <f t="array" ref="I1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10">
        <f>vhodni_podatki[[#This Row],[HTML]]+vhodni_podatki[[#This Row],[LaTeX]]+vhodni_podatki[[#This Row],[Excel]]+vhodni_podatki[[#This Row],[Mathematica]]</f>
        <v>86</v>
      </c>
    </row>
    <row r="11" spans="1:21" x14ac:dyDescent="0.25">
      <c r="A11">
        <v>27242189</v>
      </c>
      <c r="B11" s="1" t="s">
        <v>8</v>
      </c>
      <c r="C11" s="1" t="s">
        <v>57</v>
      </c>
      <c r="D11" s="1" t="s">
        <v>58</v>
      </c>
      <c r="E11">
        <v>18</v>
      </c>
      <c r="F11">
        <v>30</v>
      </c>
      <c r="G11">
        <v>12</v>
      </c>
      <c r="H11">
        <v>30</v>
      </c>
      <c r="I11" t="str" cm="1">
        <f t="array" ref="I1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1">
        <f>vhodni_podatki[[#This Row],[HTML]]+vhodni_podatki[[#This Row],[LaTeX]]+vhodni_podatki[[#This Row],[Excel]]+vhodni_podatki[[#This Row],[Mathematica]]</f>
        <v>90</v>
      </c>
    </row>
    <row r="12" spans="1:21" x14ac:dyDescent="0.25">
      <c r="A12">
        <v>27242410</v>
      </c>
      <c r="B12" s="1" t="s">
        <v>67</v>
      </c>
      <c r="C12" s="1" t="s">
        <v>116</v>
      </c>
      <c r="D12" s="1" t="s">
        <v>117</v>
      </c>
      <c r="E12">
        <v>16</v>
      </c>
      <c r="F12">
        <v>27</v>
      </c>
      <c r="G12">
        <v>9</v>
      </c>
      <c r="H12">
        <v>28</v>
      </c>
      <c r="I12" t="str" cm="1">
        <f t="array" ref="I1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12">
        <f>vhodni_podatki[[#This Row],[HTML]]+vhodni_podatki[[#This Row],[LaTeX]]+vhodni_podatki[[#This Row],[Excel]]+vhodni_podatki[[#This Row],[Mathematica]]</f>
        <v>80</v>
      </c>
    </row>
    <row r="13" spans="1:21" x14ac:dyDescent="0.25">
      <c r="A13">
        <v>27242372</v>
      </c>
      <c r="B13" s="1" t="s">
        <v>8</v>
      </c>
      <c r="C13" s="1" t="s">
        <v>101</v>
      </c>
      <c r="D13" s="1" t="s">
        <v>102</v>
      </c>
      <c r="E13">
        <v>11</v>
      </c>
      <c r="F13">
        <v>17</v>
      </c>
      <c r="G13">
        <v>0</v>
      </c>
      <c r="H13">
        <v>6</v>
      </c>
      <c r="I13" t="str" cm="1">
        <f t="array" ref="I1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13">
        <f>vhodni_podatki[[#This Row],[HTML]]+vhodni_podatki[[#This Row],[LaTeX]]+vhodni_podatki[[#This Row],[Excel]]+vhodni_podatki[[#This Row],[Mathematica]]</f>
        <v>34</v>
      </c>
    </row>
    <row r="14" spans="1:21" x14ac:dyDescent="0.25">
      <c r="A14">
        <v>27242208</v>
      </c>
      <c r="B14" s="1" t="s">
        <v>11</v>
      </c>
      <c r="C14" s="1" t="s">
        <v>62</v>
      </c>
      <c r="D14" s="1" t="s">
        <v>63</v>
      </c>
      <c r="E14">
        <v>17</v>
      </c>
      <c r="F14">
        <v>34</v>
      </c>
      <c r="G14">
        <v>12</v>
      </c>
      <c r="H14">
        <v>28</v>
      </c>
      <c r="I14" t="str" cm="1">
        <f t="array" ref="I1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4">
        <f>vhodni_podatki[[#This Row],[HTML]]+vhodni_podatki[[#This Row],[LaTeX]]+vhodni_podatki[[#This Row],[Excel]]+vhodni_podatki[[#This Row],[Mathematica]]</f>
        <v>91</v>
      </c>
      <c r="O14" s="2" t="s">
        <v>252</v>
      </c>
      <c r="P14" s="2" t="s">
        <v>251</v>
      </c>
    </row>
    <row r="15" spans="1:21" x14ac:dyDescent="0.25">
      <c r="A15">
        <v>27242642</v>
      </c>
      <c r="B15" s="1" t="s">
        <v>8</v>
      </c>
      <c r="C15" s="1" t="s">
        <v>97</v>
      </c>
      <c r="D15" s="1" t="s">
        <v>162</v>
      </c>
      <c r="E15">
        <v>19</v>
      </c>
      <c r="F15">
        <v>37</v>
      </c>
      <c r="G15">
        <v>12</v>
      </c>
      <c r="H15">
        <v>32</v>
      </c>
      <c r="I15" t="str" cm="1">
        <f t="array" ref="I1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5">
        <f>vhodni_podatki[[#This Row],[HTML]]+vhodni_podatki[[#This Row],[LaTeX]]+vhodni_podatki[[#This Row],[Excel]]+vhodni_podatki[[#This Row],[Mathematica]]</f>
        <v>100</v>
      </c>
      <c r="O15" s="2" t="s">
        <v>243</v>
      </c>
      <c r="P15" t="s">
        <v>236</v>
      </c>
      <c r="Q15" t="s">
        <v>16</v>
      </c>
      <c r="R15" t="s">
        <v>11</v>
      </c>
      <c r="S15" t="s">
        <v>8</v>
      </c>
      <c r="T15" t="s">
        <v>67</v>
      </c>
      <c r="U15" t="s">
        <v>250</v>
      </c>
    </row>
    <row r="16" spans="1:21" x14ac:dyDescent="0.25">
      <c r="A16">
        <v>27242369</v>
      </c>
      <c r="B16" s="1" t="s">
        <v>8</v>
      </c>
      <c r="C16" s="1" t="s">
        <v>97</v>
      </c>
      <c r="D16" s="1" t="s">
        <v>98</v>
      </c>
      <c r="E16">
        <v>20</v>
      </c>
      <c r="F16">
        <v>24</v>
      </c>
      <c r="G16">
        <v>0</v>
      </c>
      <c r="H16">
        <v>18</v>
      </c>
      <c r="I16" t="str" cm="1">
        <f t="array" ref="I1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16">
        <f>vhodni_podatki[[#This Row],[HTML]]+vhodni_podatki[[#This Row],[LaTeX]]+vhodni_podatki[[#This Row],[Excel]]+vhodni_podatki[[#This Row],[Mathematica]]</f>
        <v>62</v>
      </c>
      <c r="O16" s="3" t="s">
        <v>244</v>
      </c>
      <c r="P16" s="1"/>
      <c r="Q16" s="1">
        <v>3</v>
      </c>
      <c r="R16" s="1">
        <v>16</v>
      </c>
      <c r="S16" s="1">
        <v>25</v>
      </c>
      <c r="T16" s="1">
        <v>1</v>
      </c>
      <c r="U16" s="1">
        <v>45</v>
      </c>
    </row>
    <row r="17" spans="1:21" x14ac:dyDescent="0.25">
      <c r="A17">
        <v>27242843</v>
      </c>
      <c r="B17" s="1" t="s">
        <v>8</v>
      </c>
      <c r="C17" s="1" t="s">
        <v>199</v>
      </c>
      <c r="D17" s="1" t="s">
        <v>118</v>
      </c>
      <c r="E17">
        <v>7</v>
      </c>
      <c r="F17">
        <v>20</v>
      </c>
      <c r="G17">
        <v>12</v>
      </c>
      <c r="H17">
        <v>21</v>
      </c>
      <c r="I17" t="str" cm="1">
        <f t="array" ref="I1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17">
        <f>vhodni_podatki[[#This Row],[HTML]]+vhodni_podatki[[#This Row],[LaTeX]]+vhodni_podatki[[#This Row],[Excel]]+vhodni_podatki[[#This Row],[Mathematica]]</f>
        <v>60</v>
      </c>
      <c r="O17" s="3" t="s">
        <v>245</v>
      </c>
      <c r="P17" s="1">
        <v>4</v>
      </c>
      <c r="Q17" s="1">
        <v>2</v>
      </c>
      <c r="R17" s="1">
        <v>7</v>
      </c>
      <c r="S17" s="1">
        <v>11</v>
      </c>
      <c r="T17" s="1">
        <v>3</v>
      </c>
      <c r="U17" s="1">
        <v>27</v>
      </c>
    </row>
    <row r="18" spans="1:21" x14ac:dyDescent="0.25">
      <c r="A18">
        <v>27242393</v>
      </c>
      <c r="B18" s="1" t="s">
        <v>8</v>
      </c>
      <c r="C18" s="1" t="s">
        <v>109</v>
      </c>
      <c r="D18" s="1" t="s">
        <v>110</v>
      </c>
      <c r="E18">
        <v>13</v>
      </c>
      <c r="F18">
        <v>18</v>
      </c>
      <c r="G18">
        <v>0</v>
      </c>
      <c r="H18">
        <v>28</v>
      </c>
      <c r="I18" t="str" cm="1">
        <f t="array" ref="I1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6</v>
      </c>
      <c r="J18">
        <f>vhodni_podatki[[#This Row],[HTML]]+vhodni_podatki[[#This Row],[LaTeX]]+vhodni_podatki[[#This Row],[Excel]]+vhodni_podatki[[#This Row],[Mathematica]]</f>
        <v>59</v>
      </c>
      <c r="O18" s="3" t="s">
        <v>246</v>
      </c>
      <c r="P18" s="1"/>
      <c r="Q18" s="1">
        <v>1</v>
      </c>
      <c r="R18" s="1">
        <v>6</v>
      </c>
      <c r="S18" s="1">
        <v>2</v>
      </c>
      <c r="T18" s="1"/>
      <c r="U18" s="1">
        <v>9</v>
      </c>
    </row>
    <row r="19" spans="1:21" x14ac:dyDescent="0.25">
      <c r="A19">
        <v>27242249</v>
      </c>
      <c r="B19" s="1" t="s">
        <v>67</v>
      </c>
      <c r="C19" s="1" t="s">
        <v>68</v>
      </c>
      <c r="D19" s="1" t="s">
        <v>69</v>
      </c>
      <c r="E19">
        <v>14</v>
      </c>
      <c r="F19">
        <v>32</v>
      </c>
      <c r="G19">
        <v>12</v>
      </c>
      <c r="H19">
        <v>29</v>
      </c>
      <c r="I19" t="str" cm="1">
        <f t="array" ref="I1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19">
        <f>vhodni_podatki[[#This Row],[HTML]]+vhodni_podatki[[#This Row],[LaTeX]]+vhodni_podatki[[#This Row],[Excel]]+vhodni_podatki[[#This Row],[Mathematica]]</f>
        <v>87</v>
      </c>
      <c r="O19" s="3" t="s">
        <v>247</v>
      </c>
      <c r="P19" s="1"/>
      <c r="Q19" s="1">
        <v>1</v>
      </c>
      <c r="R19" s="1">
        <v>5</v>
      </c>
      <c r="S19" s="1">
        <v>7</v>
      </c>
      <c r="T19" s="1"/>
      <c r="U19" s="1">
        <v>13</v>
      </c>
    </row>
    <row r="20" spans="1:21" x14ac:dyDescent="0.25">
      <c r="A20">
        <v>27242595</v>
      </c>
      <c r="B20" s="1" t="s">
        <v>67</v>
      </c>
      <c r="C20" s="1" t="s">
        <v>91</v>
      </c>
      <c r="D20" s="1" t="s">
        <v>153</v>
      </c>
      <c r="E20">
        <v>8</v>
      </c>
      <c r="F20">
        <v>26</v>
      </c>
      <c r="G20">
        <v>1</v>
      </c>
      <c r="H20">
        <v>0</v>
      </c>
      <c r="I20" t="str" cm="1">
        <f t="array" ref="I2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20">
        <f>vhodni_podatki[[#This Row],[HTML]]+vhodni_podatki[[#This Row],[LaTeX]]+vhodni_podatki[[#This Row],[Excel]]+vhodni_podatki[[#This Row],[Mathematica]]</f>
        <v>35</v>
      </c>
      <c r="O20" s="3" t="s">
        <v>248</v>
      </c>
      <c r="P20" s="1"/>
      <c r="Q20" s="1"/>
      <c r="R20" s="1">
        <v>14</v>
      </c>
      <c r="S20" s="1">
        <v>3</v>
      </c>
      <c r="T20" s="1">
        <v>2</v>
      </c>
      <c r="U20" s="1">
        <v>19</v>
      </c>
    </row>
    <row r="21" spans="1:21" x14ac:dyDescent="0.25">
      <c r="A21">
        <v>27242340</v>
      </c>
      <c r="B21" s="1" t="s">
        <v>16</v>
      </c>
      <c r="C21" s="1" t="s">
        <v>91</v>
      </c>
      <c r="D21" s="1" t="s">
        <v>92</v>
      </c>
      <c r="E21">
        <v>20</v>
      </c>
      <c r="F21">
        <v>17</v>
      </c>
      <c r="G21">
        <v>0</v>
      </c>
      <c r="H21">
        <v>27</v>
      </c>
      <c r="I21" t="str" cm="1">
        <f t="array" ref="I2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21">
        <f>vhodni_podatki[[#This Row],[HTML]]+vhodni_podatki[[#This Row],[LaTeX]]+vhodni_podatki[[#This Row],[Excel]]+vhodni_podatki[[#This Row],[Mathematica]]</f>
        <v>64</v>
      </c>
      <c r="O21" s="3" t="s">
        <v>249</v>
      </c>
      <c r="P21" s="1"/>
      <c r="Q21" s="1">
        <v>1</v>
      </c>
      <c r="R21" s="1">
        <v>10</v>
      </c>
      <c r="S21" s="1">
        <v>6</v>
      </c>
      <c r="T21" s="1">
        <v>4</v>
      </c>
      <c r="U21" s="1">
        <v>21</v>
      </c>
    </row>
    <row r="22" spans="1:21" x14ac:dyDescent="0.25">
      <c r="A22">
        <v>28242382</v>
      </c>
      <c r="B22" s="1" t="s">
        <v>236</v>
      </c>
      <c r="C22" s="1" t="s">
        <v>239</v>
      </c>
      <c r="D22" s="1" t="s">
        <v>240</v>
      </c>
      <c r="E22">
        <v>0</v>
      </c>
      <c r="F22">
        <v>0</v>
      </c>
      <c r="G22">
        <v>0</v>
      </c>
      <c r="H22">
        <v>0</v>
      </c>
      <c r="I22" t="str" cm="1">
        <f t="array" ref="I2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22">
        <f>vhodni_podatki[[#This Row],[HTML]]+vhodni_podatki[[#This Row],[LaTeX]]+vhodni_podatki[[#This Row],[Excel]]+vhodni_podatki[[#This Row],[Mathematica]]</f>
        <v>0</v>
      </c>
      <c r="O22" s="3" t="s">
        <v>250</v>
      </c>
      <c r="P22" s="1">
        <v>4</v>
      </c>
      <c r="Q22" s="1">
        <v>8</v>
      </c>
      <c r="R22" s="1">
        <v>58</v>
      </c>
      <c r="S22" s="1">
        <v>54</v>
      </c>
      <c r="T22" s="1">
        <v>10</v>
      </c>
      <c r="U22" s="1">
        <v>134</v>
      </c>
    </row>
    <row r="23" spans="1:21" x14ac:dyDescent="0.25">
      <c r="A23">
        <v>27242865</v>
      </c>
      <c r="B23" s="1" t="s">
        <v>8</v>
      </c>
      <c r="C23" s="1" t="s">
        <v>200</v>
      </c>
      <c r="D23" s="1" t="s">
        <v>201</v>
      </c>
      <c r="E23">
        <v>19</v>
      </c>
      <c r="F23">
        <v>31</v>
      </c>
      <c r="G23">
        <v>12</v>
      </c>
      <c r="H23">
        <v>32</v>
      </c>
      <c r="I23" t="str" cm="1">
        <f t="array" ref="I2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23">
        <f>vhodni_podatki[[#This Row],[HTML]]+vhodni_podatki[[#This Row],[LaTeX]]+vhodni_podatki[[#This Row],[Excel]]+vhodni_podatki[[#This Row],[Mathematica]]</f>
        <v>94</v>
      </c>
    </row>
    <row r="24" spans="1:21" x14ac:dyDescent="0.25">
      <c r="A24">
        <v>27242476</v>
      </c>
      <c r="B24" s="1" t="s">
        <v>11</v>
      </c>
      <c r="C24" s="1" t="s">
        <v>126</v>
      </c>
      <c r="D24" s="1" t="s">
        <v>127</v>
      </c>
      <c r="E24">
        <v>0</v>
      </c>
      <c r="F24">
        <v>0</v>
      </c>
      <c r="G24">
        <v>0</v>
      </c>
      <c r="H24">
        <v>0</v>
      </c>
      <c r="I24" t="str" cm="1">
        <f t="array" ref="I2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24">
        <f>vhodni_podatki[[#This Row],[HTML]]+vhodni_podatki[[#This Row],[LaTeX]]+vhodni_podatki[[#This Row],[Excel]]+vhodni_podatki[[#This Row],[Mathematica]]</f>
        <v>0</v>
      </c>
    </row>
    <row r="25" spans="1:21" x14ac:dyDescent="0.25">
      <c r="A25">
        <v>27242789</v>
      </c>
      <c r="B25" s="1" t="s">
        <v>8</v>
      </c>
      <c r="C25" s="1" t="s">
        <v>190</v>
      </c>
      <c r="D25" s="1" t="s">
        <v>191</v>
      </c>
      <c r="E25">
        <v>16</v>
      </c>
      <c r="F25">
        <v>31</v>
      </c>
      <c r="G25">
        <v>7</v>
      </c>
      <c r="H25">
        <v>30</v>
      </c>
      <c r="I25" t="str" cm="1">
        <f t="array" ref="I2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25">
        <f>vhodni_podatki[[#This Row],[HTML]]+vhodni_podatki[[#This Row],[LaTeX]]+vhodni_podatki[[#This Row],[Excel]]+vhodni_podatki[[#This Row],[Mathematica]]</f>
        <v>84</v>
      </c>
    </row>
    <row r="26" spans="1:21" x14ac:dyDescent="0.25">
      <c r="A26">
        <v>27242636</v>
      </c>
      <c r="B26" s="1" t="s">
        <v>11</v>
      </c>
      <c r="C26" s="1" t="s">
        <v>49</v>
      </c>
      <c r="D26" s="1" t="s">
        <v>161</v>
      </c>
      <c r="E26">
        <v>17</v>
      </c>
      <c r="F26">
        <v>29</v>
      </c>
      <c r="G26">
        <v>12</v>
      </c>
      <c r="H26">
        <v>24</v>
      </c>
      <c r="I26" t="str" cm="1">
        <f t="array" ref="I2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26">
        <f>vhodni_podatki[[#This Row],[HTML]]+vhodni_podatki[[#This Row],[LaTeX]]+vhodni_podatki[[#This Row],[Excel]]+vhodni_podatki[[#This Row],[Mathematica]]</f>
        <v>82</v>
      </c>
    </row>
    <row r="27" spans="1:21" x14ac:dyDescent="0.25">
      <c r="A27">
        <v>27242158</v>
      </c>
      <c r="B27" s="1" t="s">
        <v>8</v>
      </c>
      <c r="C27" s="1" t="s">
        <v>49</v>
      </c>
      <c r="D27" s="1" t="s">
        <v>50</v>
      </c>
      <c r="E27">
        <v>19</v>
      </c>
      <c r="F27">
        <v>28</v>
      </c>
      <c r="G27">
        <v>12</v>
      </c>
      <c r="H27">
        <v>26</v>
      </c>
      <c r="I27" t="str" cm="1">
        <f t="array" ref="I2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27">
        <f>vhodni_podatki[[#This Row],[HTML]]+vhodni_podatki[[#This Row],[LaTeX]]+vhodni_podatki[[#This Row],[Excel]]+vhodni_podatki[[#This Row],[Mathematica]]</f>
        <v>85</v>
      </c>
    </row>
    <row r="28" spans="1:21" x14ac:dyDescent="0.25">
      <c r="A28">
        <v>28242160</v>
      </c>
      <c r="B28" s="1" t="s">
        <v>236</v>
      </c>
      <c r="C28" s="1" t="s">
        <v>14</v>
      </c>
      <c r="D28" s="1" t="s">
        <v>226</v>
      </c>
      <c r="E28">
        <v>18</v>
      </c>
      <c r="F28">
        <v>16</v>
      </c>
      <c r="G28">
        <v>12</v>
      </c>
      <c r="H28">
        <v>0</v>
      </c>
      <c r="I28" t="str" cm="1">
        <f t="array" ref="I2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28">
        <f>vhodni_podatki[[#This Row],[HTML]]+vhodni_podatki[[#This Row],[LaTeX]]+vhodni_podatki[[#This Row],[Excel]]+vhodni_podatki[[#This Row],[Mathematica]]</f>
        <v>46</v>
      </c>
    </row>
    <row r="29" spans="1:21" x14ac:dyDescent="0.25">
      <c r="A29">
        <v>27242016</v>
      </c>
      <c r="B29" s="1" t="s">
        <v>11</v>
      </c>
      <c r="C29" s="1" t="s">
        <v>14</v>
      </c>
      <c r="D29" s="1" t="s">
        <v>15</v>
      </c>
      <c r="E29">
        <v>15</v>
      </c>
      <c r="F29">
        <v>0</v>
      </c>
      <c r="G29">
        <v>12</v>
      </c>
      <c r="H29">
        <v>24</v>
      </c>
      <c r="I29" t="str" cm="1">
        <f t="array" ref="I2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6</v>
      </c>
      <c r="J29">
        <f>vhodni_podatki[[#This Row],[HTML]]+vhodni_podatki[[#This Row],[LaTeX]]+vhodni_podatki[[#This Row],[Excel]]+vhodni_podatki[[#This Row],[Mathematica]]</f>
        <v>51</v>
      </c>
    </row>
    <row r="30" spans="1:21" x14ac:dyDescent="0.25">
      <c r="A30">
        <v>27242358</v>
      </c>
      <c r="B30" s="1" t="s">
        <v>8</v>
      </c>
      <c r="C30" s="1" t="s">
        <v>93</v>
      </c>
      <c r="D30" s="1" t="s">
        <v>94</v>
      </c>
      <c r="E30">
        <v>11</v>
      </c>
      <c r="F30">
        <v>22</v>
      </c>
      <c r="G30">
        <v>1</v>
      </c>
      <c r="H30">
        <v>25</v>
      </c>
      <c r="I30" t="str" cm="1">
        <f t="array" ref="I3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6</v>
      </c>
      <c r="J30">
        <f>vhodni_podatki[[#This Row],[HTML]]+vhodni_podatki[[#This Row],[LaTeX]]+vhodni_podatki[[#This Row],[Excel]]+vhodni_podatki[[#This Row],[Mathematica]]</f>
        <v>59</v>
      </c>
    </row>
    <row r="31" spans="1:21" x14ac:dyDescent="0.25">
      <c r="A31">
        <v>27242100</v>
      </c>
      <c r="B31" s="1" t="s">
        <v>11</v>
      </c>
      <c r="C31" s="1" t="s">
        <v>35</v>
      </c>
      <c r="D31" s="1" t="s">
        <v>36</v>
      </c>
      <c r="E31">
        <v>5</v>
      </c>
      <c r="F31">
        <v>33</v>
      </c>
      <c r="G31">
        <v>12</v>
      </c>
      <c r="H31">
        <v>15</v>
      </c>
      <c r="I31" t="str" cm="1">
        <f t="array" ref="I3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31">
        <f>vhodni_podatki[[#This Row],[HTML]]+vhodni_podatki[[#This Row],[LaTeX]]+vhodni_podatki[[#This Row],[Excel]]+vhodni_podatki[[#This Row],[Mathematica]]</f>
        <v>65</v>
      </c>
    </row>
    <row r="32" spans="1:21" x14ac:dyDescent="0.25">
      <c r="A32">
        <v>27242293</v>
      </c>
      <c r="B32" s="1" t="s">
        <v>8</v>
      </c>
      <c r="C32" s="1" t="s">
        <v>35</v>
      </c>
      <c r="D32" s="1" t="s">
        <v>78</v>
      </c>
      <c r="E32">
        <v>18</v>
      </c>
      <c r="F32">
        <v>35</v>
      </c>
      <c r="G32">
        <v>12</v>
      </c>
      <c r="H32">
        <v>32</v>
      </c>
      <c r="I32" t="str" cm="1">
        <f t="array" ref="I3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32">
        <f>vhodni_podatki[[#This Row],[HTML]]+vhodni_podatki[[#This Row],[LaTeX]]+vhodni_podatki[[#This Row],[Excel]]+vhodni_podatki[[#This Row],[Mathematica]]</f>
        <v>97</v>
      </c>
    </row>
    <row r="33" spans="1:10" x14ac:dyDescent="0.25">
      <c r="A33">
        <v>27242599</v>
      </c>
      <c r="B33" s="1" t="s">
        <v>8</v>
      </c>
      <c r="C33" s="1" t="s">
        <v>155</v>
      </c>
      <c r="D33" s="1" t="s">
        <v>156</v>
      </c>
      <c r="E33">
        <v>18</v>
      </c>
      <c r="F33">
        <v>23</v>
      </c>
      <c r="G33">
        <v>7</v>
      </c>
      <c r="H33">
        <v>31</v>
      </c>
      <c r="I33" t="str" cm="1">
        <f t="array" ref="I3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33">
        <f>vhodni_podatki[[#This Row],[HTML]]+vhodni_podatki[[#This Row],[LaTeX]]+vhodni_podatki[[#This Row],[Excel]]+vhodni_podatki[[#This Row],[Mathematica]]</f>
        <v>79</v>
      </c>
    </row>
    <row r="34" spans="1:10" x14ac:dyDescent="0.25">
      <c r="A34">
        <v>27242658</v>
      </c>
      <c r="B34" s="1" t="s">
        <v>8</v>
      </c>
      <c r="C34" s="1" t="s">
        <v>165</v>
      </c>
      <c r="D34" s="1" t="s">
        <v>166</v>
      </c>
      <c r="E34">
        <v>17</v>
      </c>
      <c r="F34">
        <v>36</v>
      </c>
      <c r="G34">
        <v>12</v>
      </c>
      <c r="H34">
        <v>30</v>
      </c>
      <c r="I34" t="str" cm="1">
        <f t="array" ref="I3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34">
        <f>vhodni_podatki[[#This Row],[HTML]]+vhodni_podatki[[#This Row],[LaTeX]]+vhodni_podatki[[#This Row],[Excel]]+vhodni_podatki[[#This Row],[Mathematica]]</f>
        <v>95</v>
      </c>
    </row>
    <row r="35" spans="1:10" x14ac:dyDescent="0.25">
      <c r="A35">
        <v>27242690</v>
      </c>
      <c r="B35" s="1" t="s">
        <v>11</v>
      </c>
      <c r="C35" s="1" t="s">
        <v>173</v>
      </c>
      <c r="D35" s="1" t="s">
        <v>174</v>
      </c>
      <c r="E35">
        <v>0</v>
      </c>
      <c r="F35">
        <v>0</v>
      </c>
      <c r="G35">
        <v>0</v>
      </c>
      <c r="H35">
        <v>0</v>
      </c>
      <c r="I35" t="str" cm="1">
        <f t="array" ref="I3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35">
        <f>vhodni_podatki[[#This Row],[HTML]]+vhodni_podatki[[#This Row],[LaTeX]]+vhodni_podatki[[#This Row],[Excel]]+vhodni_podatki[[#This Row],[Mathematica]]</f>
        <v>0</v>
      </c>
    </row>
    <row r="36" spans="1:10" x14ac:dyDescent="0.25">
      <c r="A36">
        <v>27242384</v>
      </c>
      <c r="B36" s="1" t="s">
        <v>16</v>
      </c>
      <c r="C36" s="1" t="s">
        <v>105</v>
      </c>
      <c r="D36" s="1" t="s">
        <v>106</v>
      </c>
      <c r="E36">
        <v>19</v>
      </c>
      <c r="F36">
        <v>0</v>
      </c>
      <c r="G36">
        <v>12</v>
      </c>
      <c r="H36">
        <v>22</v>
      </c>
      <c r="I36" t="str" cm="1">
        <f t="array" ref="I3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6</v>
      </c>
      <c r="J36">
        <f>vhodni_podatki[[#This Row],[HTML]]+vhodni_podatki[[#This Row],[LaTeX]]+vhodni_podatki[[#This Row],[Excel]]+vhodni_podatki[[#This Row],[Mathematica]]</f>
        <v>53</v>
      </c>
    </row>
    <row r="37" spans="1:10" x14ac:dyDescent="0.25">
      <c r="A37">
        <v>27242957</v>
      </c>
      <c r="B37" s="1" t="s">
        <v>11</v>
      </c>
      <c r="C37" s="1" t="s">
        <v>223</v>
      </c>
      <c r="D37" s="1" t="s">
        <v>224</v>
      </c>
      <c r="E37">
        <v>18</v>
      </c>
      <c r="F37">
        <v>35</v>
      </c>
      <c r="G37">
        <v>12</v>
      </c>
      <c r="H37">
        <v>26</v>
      </c>
      <c r="I37" t="str" cm="1">
        <f t="array" ref="I3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37">
        <f>vhodni_podatki[[#This Row],[HTML]]+vhodni_podatki[[#This Row],[LaTeX]]+vhodni_podatki[[#This Row],[Excel]]+vhodni_podatki[[#This Row],[Mathematica]]</f>
        <v>91</v>
      </c>
    </row>
    <row r="38" spans="1:10" x14ac:dyDescent="0.25">
      <c r="A38">
        <v>27242797</v>
      </c>
      <c r="B38" s="1" t="s">
        <v>11</v>
      </c>
      <c r="C38" s="1" t="s">
        <v>19</v>
      </c>
      <c r="D38" s="1" t="s">
        <v>192</v>
      </c>
      <c r="E38">
        <v>19</v>
      </c>
      <c r="F38">
        <v>34</v>
      </c>
      <c r="G38">
        <v>12</v>
      </c>
      <c r="H38">
        <v>15</v>
      </c>
      <c r="I38" t="str" cm="1">
        <f t="array" ref="I3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38">
        <f>vhodni_podatki[[#This Row],[HTML]]+vhodni_podatki[[#This Row],[LaTeX]]+vhodni_podatki[[#This Row],[Excel]]+vhodni_podatki[[#This Row],[Mathematica]]</f>
        <v>80</v>
      </c>
    </row>
    <row r="39" spans="1:10" x14ac:dyDescent="0.25">
      <c r="A39">
        <v>27242025</v>
      </c>
      <c r="B39" s="1" t="s">
        <v>8</v>
      </c>
      <c r="C39" s="1" t="s">
        <v>19</v>
      </c>
      <c r="D39" s="1" t="s">
        <v>20</v>
      </c>
      <c r="E39">
        <v>19</v>
      </c>
      <c r="F39">
        <v>20</v>
      </c>
      <c r="G39">
        <v>0</v>
      </c>
      <c r="H39">
        <v>21</v>
      </c>
      <c r="I39" t="str" cm="1">
        <f t="array" ref="I3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39">
        <f>vhodni_podatki[[#This Row],[HTML]]+vhodni_podatki[[#This Row],[LaTeX]]+vhodni_podatki[[#This Row],[Excel]]+vhodni_podatki[[#This Row],[Mathematica]]</f>
        <v>60</v>
      </c>
    </row>
    <row r="40" spans="1:10" x14ac:dyDescent="0.25">
      <c r="A40">
        <v>27242462</v>
      </c>
      <c r="B40" s="1" t="s">
        <v>8</v>
      </c>
      <c r="C40" s="1" t="s">
        <v>122</v>
      </c>
      <c r="D40" s="1" t="s">
        <v>123</v>
      </c>
      <c r="E40">
        <v>18</v>
      </c>
      <c r="F40">
        <v>33</v>
      </c>
      <c r="G40">
        <v>12</v>
      </c>
      <c r="H40">
        <v>32</v>
      </c>
      <c r="I40" t="str" cm="1">
        <f t="array" ref="I4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40">
        <f>vhodni_podatki[[#This Row],[HTML]]+vhodni_podatki[[#This Row],[LaTeX]]+vhodni_podatki[[#This Row],[Excel]]+vhodni_podatki[[#This Row],[Mathematica]]</f>
        <v>95</v>
      </c>
    </row>
    <row r="41" spans="1:10" x14ac:dyDescent="0.25">
      <c r="A41">
        <v>27242990</v>
      </c>
      <c r="B41" s="1" t="s">
        <v>11</v>
      </c>
      <c r="C41" s="1" t="s">
        <v>233</v>
      </c>
      <c r="D41" s="1" t="s">
        <v>234</v>
      </c>
      <c r="E41">
        <v>17</v>
      </c>
      <c r="F41">
        <v>36</v>
      </c>
      <c r="G41">
        <v>12</v>
      </c>
      <c r="H41">
        <v>30</v>
      </c>
      <c r="I41" t="str" cm="1">
        <f t="array" ref="I4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41">
        <f>vhodni_podatki[[#This Row],[HTML]]+vhodni_podatki[[#This Row],[LaTeX]]+vhodni_podatki[[#This Row],[Excel]]+vhodni_podatki[[#This Row],[Mathematica]]</f>
        <v>95</v>
      </c>
    </row>
    <row r="42" spans="1:10" x14ac:dyDescent="0.25">
      <c r="A42">
        <v>27242007</v>
      </c>
      <c r="B42" s="1" t="s">
        <v>8</v>
      </c>
      <c r="C42" s="1" t="s">
        <v>9</v>
      </c>
      <c r="D42" s="1" t="s">
        <v>10</v>
      </c>
      <c r="E42">
        <v>8</v>
      </c>
      <c r="F42">
        <v>3</v>
      </c>
      <c r="G42">
        <v>0</v>
      </c>
      <c r="H42">
        <v>0</v>
      </c>
      <c r="I42" t="str" cm="1">
        <f t="array" ref="I4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42">
        <f>vhodni_podatki[[#This Row],[HTML]]+vhodni_podatki[[#This Row],[LaTeX]]+vhodni_podatki[[#This Row],[Excel]]+vhodni_podatki[[#This Row],[Mathematica]]</f>
        <v>11</v>
      </c>
    </row>
    <row r="43" spans="1:10" x14ac:dyDescent="0.25">
      <c r="A43">
        <v>27242572</v>
      </c>
      <c r="B43" s="1" t="s">
        <v>8</v>
      </c>
      <c r="C43" s="1" t="s">
        <v>146</v>
      </c>
      <c r="D43" s="1" t="s">
        <v>147</v>
      </c>
      <c r="E43">
        <v>16</v>
      </c>
      <c r="F43">
        <v>9</v>
      </c>
      <c r="G43">
        <v>0</v>
      </c>
      <c r="H43">
        <v>13</v>
      </c>
      <c r="I43" t="str" cm="1">
        <f t="array" ref="I4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43">
        <f>vhodni_podatki[[#This Row],[HTML]]+vhodni_podatki[[#This Row],[LaTeX]]+vhodni_podatki[[#This Row],[Excel]]+vhodni_podatki[[#This Row],[Mathematica]]</f>
        <v>38</v>
      </c>
    </row>
    <row r="44" spans="1:10" x14ac:dyDescent="0.25">
      <c r="A44">
        <v>27242686</v>
      </c>
      <c r="B44" s="1" t="s">
        <v>11</v>
      </c>
      <c r="C44" s="1" t="s">
        <v>171</v>
      </c>
      <c r="D44" s="1" t="s">
        <v>172</v>
      </c>
      <c r="E44">
        <v>15</v>
      </c>
      <c r="F44">
        <v>19</v>
      </c>
      <c r="G44">
        <v>12</v>
      </c>
      <c r="H44">
        <v>26</v>
      </c>
      <c r="I44" t="str" cm="1">
        <f t="array" ref="I4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44">
        <f>vhodni_podatki[[#This Row],[HTML]]+vhodni_podatki[[#This Row],[LaTeX]]+vhodni_podatki[[#This Row],[Excel]]+vhodni_podatki[[#This Row],[Mathematica]]</f>
        <v>72</v>
      </c>
    </row>
    <row r="45" spans="1:10" x14ac:dyDescent="0.25">
      <c r="A45">
        <v>27242949</v>
      </c>
      <c r="B45" s="1" t="s">
        <v>67</v>
      </c>
      <c r="C45" s="1" t="s">
        <v>33</v>
      </c>
      <c r="D45" s="1" t="s">
        <v>222</v>
      </c>
      <c r="E45">
        <v>6</v>
      </c>
      <c r="F45">
        <v>12</v>
      </c>
      <c r="G45">
        <v>6</v>
      </c>
      <c r="H45">
        <v>0</v>
      </c>
      <c r="I45" t="str" cm="1">
        <f t="array" ref="I4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45">
        <f>vhodni_podatki[[#This Row],[HTML]]+vhodni_podatki[[#This Row],[LaTeX]]+vhodni_podatki[[#This Row],[Excel]]+vhodni_podatki[[#This Row],[Mathematica]]</f>
        <v>24</v>
      </c>
    </row>
    <row r="46" spans="1:10" x14ac:dyDescent="0.25">
      <c r="A46">
        <v>27242092</v>
      </c>
      <c r="B46" s="1" t="s">
        <v>11</v>
      </c>
      <c r="C46" s="1" t="s">
        <v>33</v>
      </c>
      <c r="D46" s="1" t="s">
        <v>34</v>
      </c>
      <c r="E46">
        <v>18</v>
      </c>
      <c r="F46">
        <v>23</v>
      </c>
      <c r="G46">
        <v>0</v>
      </c>
      <c r="H46">
        <v>19</v>
      </c>
      <c r="I46" t="str" cm="1">
        <f t="array" ref="I4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46">
        <f>vhodni_podatki[[#This Row],[HTML]]+vhodni_podatki[[#This Row],[LaTeX]]+vhodni_podatki[[#This Row],[Excel]]+vhodni_podatki[[#This Row],[Mathematica]]</f>
        <v>60</v>
      </c>
    </row>
    <row r="47" spans="1:10" x14ac:dyDescent="0.25">
      <c r="A47">
        <v>27242256</v>
      </c>
      <c r="B47" s="1" t="s">
        <v>11</v>
      </c>
      <c r="C47" s="1" t="s">
        <v>74</v>
      </c>
      <c r="D47" s="1" t="s">
        <v>75</v>
      </c>
      <c r="E47">
        <v>19</v>
      </c>
      <c r="F47">
        <v>36</v>
      </c>
      <c r="G47">
        <v>12</v>
      </c>
      <c r="H47">
        <v>28</v>
      </c>
      <c r="I47" t="str" cm="1">
        <f t="array" ref="I4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47">
        <f>vhodni_podatki[[#This Row],[HTML]]+vhodni_podatki[[#This Row],[LaTeX]]+vhodni_podatki[[#This Row],[Excel]]+vhodni_podatki[[#This Row],[Mathematica]]</f>
        <v>95</v>
      </c>
    </row>
    <row r="48" spans="1:10" x14ac:dyDescent="0.25">
      <c r="A48">
        <v>27242607</v>
      </c>
      <c r="B48" s="1" t="s">
        <v>11</v>
      </c>
      <c r="C48" s="1" t="s">
        <v>157</v>
      </c>
      <c r="D48" s="1" t="s">
        <v>158</v>
      </c>
      <c r="E48">
        <v>19</v>
      </c>
      <c r="F48">
        <v>33</v>
      </c>
      <c r="G48">
        <v>8</v>
      </c>
      <c r="H48">
        <v>23</v>
      </c>
      <c r="I48" t="str" cm="1">
        <f t="array" ref="I4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48">
        <f>vhodni_podatki[[#This Row],[HTML]]+vhodni_podatki[[#This Row],[LaTeX]]+vhodni_podatki[[#This Row],[Excel]]+vhodni_podatki[[#This Row],[Mathematica]]</f>
        <v>83</v>
      </c>
    </row>
    <row r="49" spans="1:10" x14ac:dyDescent="0.25">
      <c r="A49">
        <v>27242070</v>
      </c>
      <c r="B49" s="1" t="s">
        <v>16</v>
      </c>
      <c r="C49" s="1" t="s">
        <v>27</v>
      </c>
      <c r="D49" s="1" t="s">
        <v>28</v>
      </c>
      <c r="E49">
        <v>19</v>
      </c>
      <c r="F49">
        <v>33</v>
      </c>
      <c r="G49">
        <v>12</v>
      </c>
      <c r="H49">
        <v>28</v>
      </c>
      <c r="I49" t="str" cm="1">
        <f t="array" ref="I4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49">
        <f>vhodni_podatki[[#This Row],[HTML]]+vhodni_podatki[[#This Row],[LaTeX]]+vhodni_podatki[[#This Row],[Excel]]+vhodni_podatki[[#This Row],[Mathematica]]</f>
        <v>92</v>
      </c>
    </row>
    <row r="50" spans="1:10" x14ac:dyDescent="0.25">
      <c r="A50">
        <v>27242197</v>
      </c>
      <c r="B50" s="1" t="s">
        <v>8</v>
      </c>
      <c r="C50" s="1" t="s">
        <v>27</v>
      </c>
      <c r="D50" s="1" t="s">
        <v>61</v>
      </c>
      <c r="E50">
        <v>18</v>
      </c>
      <c r="F50">
        <v>36</v>
      </c>
      <c r="G50">
        <v>12</v>
      </c>
      <c r="H50">
        <v>31</v>
      </c>
      <c r="I50" t="str" cm="1">
        <f t="array" ref="I5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50">
        <f>vhodni_podatki[[#This Row],[HTML]]+vhodni_podatki[[#This Row],[LaTeX]]+vhodni_podatki[[#This Row],[Excel]]+vhodni_podatki[[#This Row],[Mathematica]]</f>
        <v>97</v>
      </c>
    </row>
    <row r="51" spans="1:10" x14ac:dyDescent="0.25">
      <c r="A51">
        <v>27242392</v>
      </c>
      <c r="B51" s="1" t="s">
        <v>8</v>
      </c>
      <c r="C51" s="1" t="s">
        <v>107</v>
      </c>
      <c r="D51" s="1" t="s">
        <v>108</v>
      </c>
      <c r="E51">
        <v>19</v>
      </c>
      <c r="F51">
        <v>36</v>
      </c>
      <c r="G51">
        <v>12</v>
      </c>
      <c r="H51">
        <v>32</v>
      </c>
      <c r="I51" t="str" cm="1">
        <f t="array" ref="I5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51">
        <f>vhodni_podatki[[#This Row],[HTML]]+vhodni_podatki[[#This Row],[LaTeX]]+vhodni_podatki[[#This Row],[Excel]]+vhodni_podatki[[#This Row],[Mathematica]]</f>
        <v>99</v>
      </c>
    </row>
    <row r="52" spans="1:10" x14ac:dyDescent="0.25">
      <c r="A52">
        <v>27242489</v>
      </c>
      <c r="B52" s="1" t="s">
        <v>8</v>
      </c>
      <c r="C52" s="1" t="s">
        <v>128</v>
      </c>
      <c r="D52" s="1" t="s">
        <v>129</v>
      </c>
      <c r="E52">
        <v>20</v>
      </c>
      <c r="F52">
        <v>35</v>
      </c>
      <c r="G52">
        <v>12</v>
      </c>
      <c r="H52">
        <v>26</v>
      </c>
      <c r="I52" t="str" cm="1">
        <f t="array" ref="I5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52">
        <f>vhodni_podatki[[#This Row],[HTML]]+vhodni_podatki[[#This Row],[LaTeX]]+vhodni_podatki[[#This Row],[Excel]]+vhodni_podatki[[#This Row],[Mathematica]]</f>
        <v>93</v>
      </c>
    </row>
    <row r="53" spans="1:10" x14ac:dyDescent="0.25">
      <c r="A53">
        <v>27242404</v>
      </c>
      <c r="B53" s="1" t="s">
        <v>11</v>
      </c>
      <c r="C53" s="1" t="s">
        <v>111</v>
      </c>
      <c r="D53" s="1" t="s">
        <v>112</v>
      </c>
      <c r="E53">
        <v>18</v>
      </c>
      <c r="F53">
        <v>11</v>
      </c>
      <c r="G53">
        <v>12</v>
      </c>
      <c r="H53">
        <v>29</v>
      </c>
      <c r="I53" t="str" cm="1">
        <f t="array" ref="I5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53">
        <f>vhodni_podatki[[#This Row],[HTML]]+vhodni_podatki[[#This Row],[LaTeX]]+vhodni_podatki[[#This Row],[Excel]]+vhodni_podatki[[#This Row],[Mathematica]]</f>
        <v>70</v>
      </c>
    </row>
    <row r="54" spans="1:10" x14ac:dyDescent="0.25">
      <c r="A54">
        <v>27242030</v>
      </c>
      <c r="B54" s="1" t="s">
        <v>11</v>
      </c>
      <c r="C54" s="1" t="s">
        <v>21</v>
      </c>
      <c r="D54" s="1" t="s">
        <v>22</v>
      </c>
      <c r="E54">
        <v>14</v>
      </c>
      <c r="F54">
        <v>25</v>
      </c>
      <c r="G54">
        <v>12</v>
      </c>
      <c r="H54">
        <v>28</v>
      </c>
      <c r="I54" t="str" cm="1">
        <f t="array" ref="I5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54">
        <f>vhodni_podatki[[#This Row],[HTML]]+vhodni_podatki[[#This Row],[LaTeX]]+vhodni_podatki[[#This Row],[Excel]]+vhodni_podatki[[#This Row],[Mathematica]]</f>
        <v>79</v>
      </c>
    </row>
    <row r="55" spans="1:10" x14ac:dyDescent="0.25">
      <c r="A55">
        <v>27242408</v>
      </c>
      <c r="B55" s="1" t="s">
        <v>11</v>
      </c>
      <c r="C55" s="1" t="s">
        <v>89</v>
      </c>
      <c r="D55" s="1" t="s">
        <v>113</v>
      </c>
      <c r="E55">
        <v>16</v>
      </c>
      <c r="F55">
        <v>8</v>
      </c>
      <c r="G55">
        <v>8</v>
      </c>
      <c r="H55">
        <v>21</v>
      </c>
      <c r="I55" t="str" cm="1">
        <f t="array" ref="I5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6</v>
      </c>
      <c r="J55">
        <f>vhodni_podatki[[#This Row],[HTML]]+vhodni_podatki[[#This Row],[LaTeX]]+vhodni_podatki[[#This Row],[Excel]]+vhodni_podatki[[#This Row],[Mathematica]]</f>
        <v>53</v>
      </c>
    </row>
    <row r="56" spans="1:10" x14ac:dyDescent="0.25">
      <c r="A56">
        <v>27242323</v>
      </c>
      <c r="B56" s="1" t="s">
        <v>16</v>
      </c>
      <c r="C56" s="1" t="s">
        <v>89</v>
      </c>
      <c r="D56" s="1" t="s">
        <v>90</v>
      </c>
      <c r="E56">
        <v>0</v>
      </c>
      <c r="F56">
        <v>0</v>
      </c>
      <c r="G56">
        <v>0</v>
      </c>
      <c r="H56">
        <v>0</v>
      </c>
      <c r="I56" t="str" cm="1">
        <f t="array" ref="I5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56">
        <f>vhodni_podatki[[#This Row],[HTML]]+vhodni_podatki[[#This Row],[LaTeX]]+vhodni_podatki[[#This Row],[Excel]]+vhodni_podatki[[#This Row],[Mathematica]]</f>
        <v>0</v>
      </c>
    </row>
    <row r="57" spans="1:10" x14ac:dyDescent="0.25">
      <c r="A57">
        <v>27242924</v>
      </c>
      <c r="B57" s="1" t="s">
        <v>11</v>
      </c>
      <c r="C57" s="1" t="s">
        <v>148</v>
      </c>
      <c r="D57" s="1" t="s">
        <v>104</v>
      </c>
      <c r="E57">
        <v>17</v>
      </c>
      <c r="F57">
        <v>21</v>
      </c>
      <c r="G57">
        <v>12</v>
      </c>
      <c r="H57">
        <v>25</v>
      </c>
      <c r="I57" t="str" cm="1">
        <f t="array" ref="I5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57">
        <f>vhodni_podatki[[#This Row],[HTML]]+vhodni_podatki[[#This Row],[LaTeX]]+vhodni_podatki[[#This Row],[Excel]]+vhodni_podatki[[#This Row],[Mathematica]]</f>
        <v>75</v>
      </c>
    </row>
    <row r="58" spans="1:10" x14ac:dyDescent="0.25">
      <c r="A58">
        <v>27242585</v>
      </c>
      <c r="B58" s="1" t="s">
        <v>11</v>
      </c>
      <c r="C58" s="1" t="s">
        <v>148</v>
      </c>
      <c r="D58" s="1" t="s">
        <v>149</v>
      </c>
      <c r="E58">
        <v>18</v>
      </c>
      <c r="F58">
        <v>36</v>
      </c>
      <c r="G58">
        <v>12</v>
      </c>
      <c r="H58">
        <v>29</v>
      </c>
      <c r="I58" t="str" cm="1">
        <f t="array" ref="I5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58">
        <f>vhodni_podatki[[#This Row],[HTML]]+vhodni_podatki[[#This Row],[LaTeX]]+vhodni_podatki[[#This Row],[Excel]]+vhodni_podatki[[#This Row],[Mathematica]]</f>
        <v>95</v>
      </c>
    </row>
    <row r="59" spans="1:10" x14ac:dyDescent="0.25">
      <c r="A59">
        <v>27242377</v>
      </c>
      <c r="B59" s="1" t="s">
        <v>8</v>
      </c>
      <c r="C59" s="1" t="s">
        <v>103</v>
      </c>
      <c r="D59" s="1" t="s">
        <v>104</v>
      </c>
      <c r="E59">
        <v>0</v>
      </c>
      <c r="F59">
        <v>0</v>
      </c>
      <c r="G59">
        <v>0</v>
      </c>
      <c r="H59">
        <v>0</v>
      </c>
      <c r="I59" t="str" cm="1">
        <f t="array" ref="I5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59">
        <f>vhodni_podatki[[#This Row],[HTML]]+vhodni_podatki[[#This Row],[LaTeX]]+vhodni_podatki[[#This Row],[Excel]]+vhodni_podatki[[#This Row],[Mathematica]]</f>
        <v>0</v>
      </c>
    </row>
    <row r="60" spans="1:10" x14ac:dyDescent="0.25">
      <c r="A60">
        <v>27242921</v>
      </c>
      <c r="B60" s="1" t="s">
        <v>11</v>
      </c>
      <c r="C60" s="1" t="s">
        <v>103</v>
      </c>
      <c r="D60" s="1" t="s">
        <v>216</v>
      </c>
      <c r="E60">
        <v>17</v>
      </c>
      <c r="F60">
        <v>34</v>
      </c>
      <c r="G60">
        <v>12</v>
      </c>
      <c r="H60">
        <v>29</v>
      </c>
      <c r="I60" t="str" cm="1">
        <f t="array" ref="I6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60">
        <f>vhodni_podatki[[#This Row],[HTML]]+vhodni_podatki[[#This Row],[LaTeX]]+vhodni_podatki[[#This Row],[Excel]]+vhodni_podatki[[#This Row],[Mathematica]]</f>
        <v>92</v>
      </c>
    </row>
    <row r="61" spans="1:10" x14ac:dyDescent="0.25">
      <c r="A61">
        <v>27242304</v>
      </c>
      <c r="B61" s="1" t="s">
        <v>67</v>
      </c>
      <c r="C61" s="1" t="s">
        <v>83</v>
      </c>
      <c r="D61" s="1" t="s">
        <v>84</v>
      </c>
      <c r="E61">
        <v>17</v>
      </c>
      <c r="F61">
        <v>32</v>
      </c>
      <c r="G61">
        <v>12</v>
      </c>
      <c r="H61">
        <v>25</v>
      </c>
      <c r="I61" t="str" cm="1">
        <f t="array" ref="I6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61">
        <f>vhodni_podatki[[#This Row],[HTML]]+vhodni_podatki[[#This Row],[LaTeX]]+vhodni_podatki[[#This Row],[Excel]]+vhodni_podatki[[#This Row],[Mathematica]]</f>
        <v>86</v>
      </c>
    </row>
    <row r="62" spans="1:10" x14ac:dyDescent="0.25">
      <c r="A62">
        <v>27242598</v>
      </c>
      <c r="B62" s="1" t="s">
        <v>11</v>
      </c>
      <c r="C62" s="1" t="s">
        <v>142</v>
      </c>
      <c r="D62" s="1" t="s">
        <v>154</v>
      </c>
      <c r="E62">
        <v>11</v>
      </c>
      <c r="F62">
        <v>25</v>
      </c>
      <c r="G62">
        <v>10</v>
      </c>
      <c r="H62">
        <v>26</v>
      </c>
      <c r="I62" t="str" cm="1">
        <f t="array" ref="I6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62">
        <f>vhodni_podatki[[#This Row],[HTML]]+vhodni_podatki[[#This Row],[LaTeX]]+vhodni_podatki[[#This Row],[Excel]]+vhodni_podatki[[#This Row],[Mathematica]]</f>
        <v>72</v>
      </c>
    </row>
    <row r="63" spans="1:10" x14ac:dyDescent="0.25">
      <c r="A63">
        <v>27242560</v>
      </c>
      <c r="B63" s="1" t="s">
        <v>8</v>
      </c>
      <c r="C63" s="1" t="s">
        <v>142</v>
      </c>
      <c r="D63" s="1" t="s">
        <v>143</v>
      </c>
      <c r="E63">
        <v>19</v>
      </c>
      <c r="F63">
        <v>23</v>
      </c>
      <c r="G63">
        <v>0</v>
      </c>
      <c r="H63">
        <v>23</v>
      </c>
      <c r="I63" t="str" cm="1">
        <f t="array" ref="I6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63">
        <f>vhodni_podatki[[#This Row],[HTML]]+vhodni_podatki[[#This Row],[LaTeX]]+vhodni_podatki[[#This Row],[Excel]]+vhodni_podatki[[#This Row],[Mathematica]]</f>
        <v>65</v>
      </c>
    </row>
    <row r="64" spans="1:10" x14ac:dyDescent="0.25">
      <c r="A64">
        <v>27242702</v>
      </c>
      <c r="B64" s="1" t="s">
        <v>11</v>
      </c>
      <c r="C64" s="1" t="s">
        <v>178</v>
      </c>
      <c r="D64" s="1" t="s">
        <v>179</v>
      </c>
      <c r="E64">
        <v>18</v>
      </c>
      <c r="F64">
        <v>36</v>
      </c>
      <c r="G64">
        <v>12</v>
      </c>
      <c r="H64">
        <v>32</v>
      </c>
      <c r="I64" t="str" cm="1">
        <f t="array" ref="I6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64">
        <f>vhodni_podatki[[#This Row],[HTML]]+vhodni_podatki[[#This Row],[LaTeX]]+vhodni_podatki[[#This Row],[Excel]]+vhodni_podatki[[#This Row],[Mathematica]]</f>
        <v>98</v>
      </c>
    </row>
    <row r="65" spans="1:10" x14ac:dyDescent="0.25">
      <c r="A65">
        <v>27242926</v>
      </c>
      <c r="B65" s="1" t="s">
        <v>8</v>
      </c>
      <c r="C65" s="1" t="s">
        <v>218</v>
      </c>
      <c r="D65" s="1" t="s">
        <v>219</v>
      </c>
      <c r="E65">
        <v>12</v>
      </c>
      <c r="F65">
        <v>15</v>
      </c>
      <c r="G65">
        <v>12</v>
      </c>
      <c r="H65">
        <v>27</v>
      </c>
      <c r="I65" t="str" cm="1">
        <f t="array" ref="I6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65">
        <f>vhodni_podatki[[#This Row],[HTML]]+vhodni_podatki[[#This Row],[LaTeX]]+vhodni_podatki[[#This Row],[Excel]]+vhodni_podatki[[#This Row],[Mathematica]]</f>
        <v>66</v>
      </c>
    </row>
    <row r="66" spans="1:10" x14ac:dyDescent="0.25">
      <c r="A66">
        <v>27242910</v>
      </c>
      <c r="B66" s="1" t="s">
        <v>8</v>
      </c>
      <c r="C66" s="1" t="s">
        <v>210</v>
      </c>
      <c r="D66" s="1" t="s">
        <v>211</v>
      </c>
      <c r="E66">
        <v>19</v>
      </c>
      <c r="F66">
        <v>30</v>
      </c>
      <c r="G66">
        <v>12</v>
      </c>
      <c r="H66">
        <v>25</v>
      </c>
      <c r="I66" t="str" cm="1">
        <f t="array" ref="I6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66">
        <f>vhodni_podatki[[#This Row],[HTML]]+vhodni_podatki[[#This Row],[LaTeX]]+vhodni_podatki[[#This Row],[Excel]]+vhodni_podatki[[#This Row],[Mathematica]]</f>
        <v>86</v>
      </c>
    </row>
    <row r="67" spans="1:10" x14ac:dyDescent="0.25">
      <c r="A67">
        <v>27242019</v>
      </c>
      <c r="B67" s="1" t="s">
        <v>16</v>
      </c>
      <c r="C67" s="1" t="s">
        <v>17</v>
      </c>
      <c r="D67" s="1" t="s">
        <v>18</v>
      </c>
      <c r="E67">
        <v>20</v>
      </c>
      <c r="F67">
        <v>36</v>
      </c>
      <c r="G67">
        <v>12</v>
      </c>
      <c r="H67">
        <v>31</v>
      </c>
      <c r="I67" t="str" cm="1">
        <f t="array" ref="I6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67">
        <f>vhodni_podatki[[#This Row],[HTML]]+vhodni_podatki[[#This Row],[LaTeX]]+vhodni_podatki[[#This Row],[Excel]]+vhodni_podatki[[#This Row],[Mathematica]]</f>
        <v>99</v>
      </c>
    </row>
    <row r="68" spans="1:10" x14ac:dyDescent="0.25">
      <c r="A68">
        <v>27242759</v>
      </c>
      <c r="B68" s="1" t="s">
        <v>11</v>
      </c>
      <c r="C68" s="1" t="s">
        <v>184</v>
      </c>
      <c r="D68" s="1" t="s">
        <v>186</v>
      </c>
      <c r="E68">
        <v>19</v>
      </c>
      <c r="F68">
        <v>27</v>
      </c>
      <c r="G68">
        <v>12</v>
      </c>
      <c r="H68">
        <v>12</v>
      </c>
      <c r="I68" t="str" cm="1">
        <f t="array" ref="I6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68">
        <f>vhodni_podatki[[#This Row],[HTML]]+vhodni_podatki[[#This Row],[LaTeX]]+vhodni_podatki[[#This Row],[Excel]]+vhodni_podatki[[#This Row],[Mathematica]]</f>
        <v>70</v>
      </c>
    </row>
    <row r="69" spans="1:10" x14ac:dyDescent="0.25">
      <c r="A69">
        <v>27242748</v>
      </c>
      <c r="B69" s="1" t="s">
        <v>8</v>
      </c>
      <c r="C69" s="1" t="s">
        <v>184</v>
      </c>
      <c r="D69" s="1" t="s">
        <v>185</v>
      </c>
      <c r="E69">
        <v>0</v>
      </c>
      <c r="F69">
        <v>0</v>
      </c>
      <c r="G69">
        <v>0</v>
      </c>
      <c r="H69">
        <v>0</v>
      </c>
      <c r="I69" t="str" cm="1">
        <f t="array" ref="I6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69">
        <f>vhodni_podatki[[#This Row],[HTML]]+vhodni_podatki[[#This Row],[LaTeX]]+vhodni_podatki[[#This Row],[Excel]]+vhodni_podatki[[#This Row],[Mathematica]]</f>
        <v>0</v>
      </c>
    </row>
    <row r="70" spans="1:10" x14ac:dyDescent="0.25">
      <c r="A70">
        <v>27242132</v>
      </c>
      <c r="B70" s="1" t="s">
        <v>11</v>
      </c>
      <c r="C70" s="1" t="s">
        <v>43</v>
      </c>
      <c r="D70" s="1" t="s">
        <v>44</v>
      </c>
      <c r="E70">
        <v>18</v>
      </c>
      <c r="F70">
        <v>24</v>
      </c>
      <c r="G70">
        <v>12</v>
      </c>
      <c r="H70">
        <v>17</v>
      </c>
      <c r="I70" t="str" cm="1">
        <f t="array" ref="I7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70">
        <f>vhodni_podatki[[#This Row],[HTML]]+vhodni_podatki[[#This Row],[LaTeX]]+vhodni_podatki[[#This Row],[Excel]]+vhodni_podatki[[#This Row],[Mathematica]]</f>
        <v>71</v>
      </c>
    </row>
    <row r="71" spans="1:10" x14ac:dyDescent="0.25">
      <c r="A71">
        <v>27242503</v>
      </c>
      <c r="B71" s="1" t="s">
        <v>11</v>
      </c>
      <c r="C71" s="1" t="s">
        <v>132</v>
      </c>
      <c r="D71" s="1" t="s">
        <v>133</v>
      </c>
      <c r="E71">
        <v>18</v>
      </c>
      <c r="F71">
        <v>12</v>
      </c>
      <c r="G71">
        <v>7</v>
      </c>
      <c r="H71">
        <v>23</v>
      </c>
      <c r="I71" t="str" cm="1">
        <f t="array" ref="I7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71">
        <f>vhodni_podatki[[#This Row],[HTML]]+vhodni_podatki[[#This Row],[LaTeX]]+vhodni_podatki[[#This Row],[Excel]]+vhodni_podatki[[#This Row],[Mathematica]]</f>
        <v>60</v>
      </c>
    </row>
    <row r="72" spans="1:10" x14ac:dyDescent="0.25">
      <c r="A72">
        <v>27242508</v>
      </c>
      <c r="B72" s="1" t="s">
        <v>67</v>
      </c>
      <c r="C72" s="1" t="s">
        <v>134</v>
      </c>
      <c r="D72" s="1" t="s">
        <v>135</v>
      </c>
      <c r="E72">
        <v>19</v>
      </c>
      <c r="F72">
        <v>30</v>
      </c>
      <c r="G72">
        <v>12</v>
      </c>
      <c r="H72">
        <v>15</v>
      </c>
      <c r="I72" t="str" cm="1">
        <f t="array" ref="I7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72">
        <f>vhodni_podatki[[#This Row],[HTML]]+vhodni_podatki[[#This Row],[LaTeX]]+vhodni_podatki[[#This Row],[Excel]]+vhodni_podatki[[#This Row],[Mathematica]]</f>
        <v>76</v>
      </c>
    </row>
    <row r="73" spans="1:10" x14ac:dyDescent="0.25">
      <c r="A73">
        <v>27242773</v>
      </c>
      <c r="B73" s="1" t="s">
        <v>16</v>
      </c>
      <c r="C73" s="1" t="s">
        <v>76</v>
      </c>
      <c r="D73" s="1" t="s">
        <v>189</v>
      </c>
      <c r="E73">
        <v>0</v>
      </c>
      <c r="F73">
        <v>0</v>
      </c>
      <c r="G73">
        <v>0</v>
      </c>
      <c r="H73">
        <v>25</v>
      </c>
      <c r="I73" t="str" cm="1">
        <f t="array" ref="I7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73">
        <f>vhodni_podatki[[#This Row],[HTML]]+vhodni_podatki[[#This Row],[LaTeX]]+vhodni_podatki[[#This Row],[Excel]]+vhodni_podatki[[#This Row],[Mathematica]]</f>
        <v>25</v>
      </c>
    </row>
    <row r="74" spans="1:10" x14ac:dyDescent="0.25">
      <c r="A74">
        <v>27242284</v>
      </c>
      <c r="B74" s="1" t="s">
        <v>11</v>
      </c>
      <c r="C74" s="1" t="s">
        <v>76</v>
      </c>
      <c r="D74" s="1" t="s">
        <v>77</v>
      </c>
      <c r="E74">
        <v>14</v>
      </c>
      <c r="F74">
        <v>13</v>
      </c>
      <c r="G74">
        <v>9</v>
      </c>
      <c r="H74">
        <v>15</v>
      </c>
      <c r="I74" t="str" cm="1">
        <f t="array" ref="I7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6</v>
      </c>
      <c r="J74">
        <f>vhodni_podatki[[#This Row],[HTML]]+vhodni_podatki[[#This Row],[LaTeX]]+vhodni_podatki[[#This Row],[Excel]]+vhodni_podatki[[#This Row],[Mathematica]]</f>
        <v>51</v>
      </c>
    </row>
    <row r="75" spans="1:10" x14ac:dyDescent="0.25">
      <c r="A75">
        <v>27242223</v>
      </c>
      <c r="B75" s="1" t="s">
        <v>8</v>
      </c>
      <c r="C75" s="1" t="s">
        <v>65</v>
      </c>
      <c r="D75" s="1" t="s">
        <v>66</v>
      </c>
      <c r="E75">
        <v>20</v>
      </c>
      <c r="F75">
        <v>36</v>
      </c>
      <c r="G75">
        <v>12</v>
      </c>
      <c r="H75">
        <v>30</v>
      </c>
      <c r="I75" t="str" cm="1">
        <f t="array" ref="I7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75">
        <f>vhodni_podatki[[#This Row],[HTML]]+vhodni_podatki[[#This Row],[LaTeX]]+vhodni_podatki[[#This Row],[Excel]]+vhodni_podatki[[#This Row],[Mathematica]]</f>
        <v>98</v>
      </c>
    </row>
    <row r="76" spans="1:10" x14ac:dyDescent="0.25">
      <c r="A76">
        <v>27242744</v>
      </c>
      <c r="B76" s="1" t="s">
        <v>11</v>
      </c>
      <c r="C76" s="1" t="s">
        <v>120</v>
      </c>
      <c r="D76" s="1" t="s">
        <v>183</v>
      </c>
      <c r="E76">
        <v>18</v>
      </c>
      <c r="F76">
        <v>36</v>
      </c>
      <c r="G76">
        <v>12</v>
      </c>
      <c r="H76">
        <v>28</v>
      </c>
      <c r="I76" t="str" cm="1">
        <f t="array" ref="I7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76">
        <f>vhodni_podatki[[#This Row],[HTML]]+vhodni_podatki[[#This Row],[LaTeX]]+vhodni_podatki[[#This Row],[Excel]]+vhodni_podatki[[#This Row],[Mathematica]]</f>
        <v>94</v>
      </c>
    </row>
    <row r="77" spans="1:10" x14ac:dyDescent="0.25">
      <c r="A77">
        <v>27242447</v>
      </c>
      <c r="B77" s="1" t="s">
        <v>8</v>
      </c>
      <c r="C77" s="1" t="s">
        <v>120</v>
      </c>
      <c r="D77" s="1" t="s">
        <v>121</v>
      </c>
      <c r="E77">
        <v>18</v>
      </c>
      <c r="F77">
        <v>30</v>
      </c>
      <c r="G77">
        <v>12</v>
      </c>
      <c r="H77">
        <v>32</v>
      </c>
      <c r="I77" t="str" cm="1">
        <f t="array" ref="I7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77">
        <f>vhodni_podatki[[#This Row],[HTML]]+vhodni_podatki[[#This Row],[LaTeX]]+vhodni_podatki[[#This Row],[Excel]]+vhodni_podatki[[#This Row],[Mathematica]]</f>
        <v>92</v>
      </c>
    </row>
    <row r="78" spans="1:10" x14ac:dyDescent="0.25">
      <c r="A78">
        <v>27242409</v>
      </c>
      <c r="B78" s="1" t="s">
        <v>11</v>
      </c>
      <c r="C78" s="1" t="s">
        <v>114</v>
      </c>
      <c r="D78" s="1" t="s">
        <v>115</v>
      </c>
      <c r="E78">
        <v>16</v>
      </c>
      <c r="F78">
        <v>6</v>
      </c>
      <c r="G78">
        <v>10</v>
      </c>
      <c r="H78">
        <v>22</v>
      </c>
      <c r="I78" t="str" cm="1">
        <f t="array" ref="I7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6</v>
      </c>
      <c r="J78">
        <f>vhodni_podatki[[#This Row],[HTML]]+vhodni_podatki[[#This Row],[LaTeX]]+vhodni_podatki[[#This Row],[Excel]]+vhodni_podatki[[#This Row],[Mathematica]]</f>
        <v>54</v>
      </c>
    </row>
    <row r="79" spans="1:10" x14ac:dyDescent="0.25">
      <c r="A79">
        <v>27242119</v>
      </c>
      <c r="B79" s="1" t="s">
        <v>11</v>
      </c>
      <c r="C79" s="1" t="s">
        <v>41</v>
      </c>
      <c r="D79" s="1" t="s">
        <v>42</v>
      </c>
      <c r="E79">
        <v>17</v>
      </c>
      <c r="F79">
        <v>30</v>
      </c>
      <c r="G79">
        <v>9</v>
      </c>
      <c r="H79">
        <v>20</v>
      </c>
      <c r="I79" t="str" cm="1">
        <f t="array" ref="I7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79">
        <f>vhodni_podatki[[#This Row],[HTML]]+vhodni_podatki[[#This Row],[LaTeX]]+vhodni_podatki[[#This Row],[Excel]]+vhodni_podatki[[#This Row],[Mathematica]]</f>
        <v>76</v>
      </c>
    </row>
    <row r="80" spans="1:10" x14ac:dyDescent="0.25">
      <c r="A80">
        <v>27242221</v>
      </c>
      <c r="B80" s="1" t="s">
        <v>8</v>
      </c>
      <c r="C80" s="1" t="s">
        <v>59</v>
      </c>
      <c r="D80" s="1" t="s">
        <v>64</v>
      </c>
      <c r="E80">
        <v>18</v>
      </c>
      <c r="F80">
        <v>32</v>
      </c>
      <c r="G80">
        <v>12</v>
      </c>
      <c r="H80">
        <v>32</v>
      </c>
      <c r="I80" t="str" cm="1">
        <f t="array" ref="I8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80">
        <f>vhodni_podatki[[#This Row],[HTML]]+vhodni_podatki[[#This Row],[LaTeX]]+vhodni_podatki[[#This Row],[Excel]]+vhodni_podatki[[#This Row],[Mathematica]]</f>
        <v>94</v>
      </c>
    </row>
    <row r="81" spans="1:10" x14ac:dyDescent="0.25">
      <c r="A81">
        <v>27242191</v>
      </c>
      <c r="B81" s="1" t="s">
        <v>11</v>
      </c>
      <c r="C81" s="1" t="s">
        <v>59</v>
      </c>
      <c r="D81" s="1" t="s">
        <v>60</v>
      </c>
      <c r="E81">
        <v>0</v>
      </c>
      <c r="F81">
        <v>0</v>
      </c>
      <c r="G81">
        <v>0</v>
      </c>
      <c r="H81">
        <v>24</v>
      </c>
      <c r="I81" t="str" cm="1">
        <f t="array" ref="I8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81">
        <f>vhodni_podatki[[#This Row],[HTML]]+vhodni_podatki[[#This Row],[LaTeX]]+vhodni_podatki[[#This Row],[Excel]]+vhodni_podatki[[#This Row],[Mathematica]]</f>
        <v>24</v>
      </c>
    </row>
    <row r="82" spans="1:10" x14ac:dyDescent="0.25">
      <c r="A82">
        <v>28242075</v>
      </c>
      <c r="B82" s="1" t="s">
        <v>236</v>
      </c>
      <c r="C82" s="1" t="s">
        <v>25</v>
      </c>
      <c r="D82" s="1" t="s">
        <v>177</v>
      </c>
      <c r="E82">
        <v>15</v>
      </c>
      <c r="F82">
        <v>0</v>
      </c>
      <c r="G82">
        <v>12</v>
      </c>
      <c r="H82">
        <v>13</v>
      </c>
      <c r="I82" t="str" cm="1">
        <f t="array" ref="I8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82">
        <f>vhodni_podatki[[#This Row],[HTML]]+vhodni_podatki[[#This Row],[LaTeX]]+vhodni_podatki[[#This Row],[Excel]]+vhodni_podatki[[#This Row],[Mathematica]]</f>
        <v>40</v>
      </c>
    </row>
    <row r="83" spans="1:10" x14ac:dyDescent="0.25">
      <c r="A83">
        <v>27242039</v>
      </c>
      <c r="B83" s="1" t="s">
        <v>8</v>
      </c>
      <c r="C83" s="1" t="s">
        <v>25</v>
      </c>
      <c r="D83" s="1" t="s">
        <v>26</v>
      </c>
      <c r="E83">
        <v>18</v>
      </c>
      <c r="F83">
        <v>32</v>
      </c>
      <c r="G83">
        <v>12</v>
      </c>
      <c r="H83">
        <v>28</v>
      </c>
      <c r="I83" t="str" cm="1">
        <f t="array" ref="I8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83">
        <f>vhodni_podatki[[#This Row],[HTML]]+vhodni_podatki[[#This Row],[LaTeX]]+vhodni_podatki[[#This Row],[Excel]]+vhodni_podatki[[#This Row],[Mathematica]]</f>
        <v>90</v>
      </c>
    </row>
    <row r="84" spans="1:10" x14ac:dyDescent="0.25">
      <c r="A84">
        <v>27242313</v>
      </c>
      <c r="B84" s="1" t="s">
        <v>67</v>
      </c>
      <c r="C84" s="1" t="s">
        <v>87</v>
      </c>
      <c r="D84" s="1" t="s">
        <v>88</v>
      </c>
      <c r="E84">
        <v>17</v>
      </c>
      <c r="F84">
        <v>29</v>
      </c>
      <c r="G84">
        <v>12</v>
      </c>
      <c r="H84">
        <v>22</v>
      </c>
      <c r="I84" t="str" cm="1">
        <f t="array" ref="I8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84">
        <f>vhodni_podatki[[#This Row],[HTML]]+vhodni_podatki[[#This Row],[LaTeX]]+vhodni_podatki[[#This Row],[Excel]]+vhodni_podatki[[#This Row],[Mathematica]]</f>
        <v>80</v>
      </c>
    </row>
    <row r="85" spans="1:10" x14ac:dyDescent="0.25">
      <c r="A85">
        <v>27242932</v>
      </c>
      <c r="B85" s="1" t="s">
        <v>11</v>
      </c>
      <c r="C85" s="1" t="s">
        <v>220</v>
      </c>
      <c r="D85" s="1" t="s">
        <v>221</v>
      </c>
      <c r="E85">
        <v>15</v>
      </c>
      <c r="F85">
        <v>27</v>
      </c>
      <c r="G85">
        <v>0</v>
      </c>
      <c r="H85">
        <v>30</v>
      </c>
      <c r="I85" t="str" cm="1">
        <f t="array" ref="I8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85">
        <f>vhodni_podatki[[#This Row],[HTML]]+vhodni_podatki[[#This Row],[LaTeX]]+vhodni_podatki[[#This Row],[Excel]]+vhodni_podatki[[#This Row],[Mathematica]]</f>
        <v>72</v>
      </c>
    </row>
    <row r="86" spans="1:10" x14ac:dyDescent="0.25">
      <c r="A86">
        <v>27242566</v>
      </c>
      <c r="B86" s="1" t="s">
        <v>11</v>
      </c>
      <c r="C86" s="1" t="s">
        <v>144</v>
      </c>
      <c r="D86" s="1" t="s">
        <v>145</v>
      </c>
      <c r="E86">
        <v>20</v>
      </c>
      <c r="F86">
        <v>31</v>
      </c>
      <c r="G86">
        <v>12</v>
      </c>
      <c r="H86">
        <v>30</v>
      </c>
      <c r="I86" t="str" cm="1">
        <f t="array" ref="I8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86">
        <f>vhodni_podatki[[#This Row],[HTML]]+vhodni_podatki[[#This Row],[LaTeX]]+vhodni_podatki[[#This Row],[Excel]]+vhodni_podatki[[#This Row],[Mathematica]]</f>
        <v>93</v>
      </c>
    </row>
    <row r="87" spans="1:10" x14ac:dyDescent="0.25">
      <c r="A87">
        <v>27242830</v>
      </c>
      <c r="B87" s="1" t="s">
        <v>11</v>
      </c>
      <c r="C87" s="1" t="s">
        <v>144</v>
      </c>
      <c r="D87" s="1" t="s">
        <v>198</v>
      </c>
      <c r="E87">
        <v>15</v>
      </c>
      <c r="F87">
        <v>31</v>
      </c>
      <c r="G87">
        <v>9</v>
      </c>
      <c r="H87">
        <v>27</v>
      </c>
      <c r="I87" t="str" cm="1">
        <f t="array" ref="I8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87">
        <f>vhodni_podatki[[#This Row],[HTML]]+vhodni_podatki[[#This Row],[LaTeX]]+vhodni_podatki[[#This Row],[Excel]]+vhodni_podatki[[#This Row],[Mathematica]]</f>
        <v>82</v>
      </c>
    </row>
    <row r="88" spans="1:10" x14ac:dyDescent="0.25">
      <c r="A88">
        <v>27242922</v>
      </c>
      <c r="B88" s="1" t="s">
        <v>11</v>
      </c>
      <c r="C88" s="1" t="s">
        <v>217</v>
      </c>
      <c r="D88" s="1" t="s">
        <v>183</v>
      </c>
      <c r="E88">
        <v>13</v>
      </c>
      <c r="F88">
        <v>27</v>
      </c>
      <c r="G88">
        <v>12</v>
      </c>
      <c r="H88">
        <v>25</v>
      </c>
      <c r="I88" t="str" cm="1">
        <f t="array" ref="I8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88">
        <f>vhodni_podatki[[#This Row],[HTML]]+vhodni_podatki[[#This Row],[LaTeX]]+vhodni_podatki[[#This Row],[Excel]]+vhodni_podatki[[#This Row],[Mathematica]]</f>
        <v>77</v>
      </c>
    </row>
    <row r="89" spans="1:10" x14ac:dyDescent="0.25">
      <c r="A89">
        <v>27242995</v>
      </c>
      <c r="B89" s="1" t="s">
        <v>11</v>
      </c>
      <c r="C89" s="1" t="s">
        <v>217</v>
      </c>
      <c r="D89" s="1" t="s">
        <v>235</v>
      </c>
      <c r="E89">
        <v>19</v>
      </c>
      <c r="F89">
        <v>19</v>
      </c>
      <c r="G89">
        <v>7</v>
      </c>
      <c r="H89">
        <v>20</v>
      </c>
      <c r="I89" t="str" cm="1">
        <f t="array" ref="I8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89">
        <f>vhodni_podatki[[#This Row],[HTML]]+vhodni_podatki[[#This Row],[LaTeX]]+vhodni_podatki[[#This Row],[Excel]]+vhodni_podatki[[#This Row],[Mathematica]]</f>
        <v>65</v>
      </c>
    </row>
    <row r="90" spans="1:10" x14ac:dyDescent="0.25">
      <c r="A90">
        <v>27242534</v>
      </c>
      <c r="B90" s="1" t="s">
        <v>8</v>
      </c>
      <c r="C90" s="1" t="s">
        <v>137</v>
      </c>
      <c r="D90" s="1" t="s">
        <v>138</v>
      </c>
      <c r="E90">
        <v>20</v>
      </c>
      <c r="F90">
        <v>36</v>
      </c>
      <c r="G90">
        <v>12</v>
      </c>
      <c r="H90">
        <v>32</v>
      </c>
      <c r="I90" t="str" cm="1">
        <f t="array" ref="I9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90">
        <f>vhodni_podatki[[#This Row],[HTML]]+vhodni_podatki[[#This Row],[LaTeX]]+vhodni_podatki[[#This Row],[Excel]]+vhodni_podatki[[#This Row],[Mathematica]]</f>
        <v>100</v>
      </c>
    </row>
    <row r="91" spans="1:10" x14ac:dyDescent="0.25">
      <c r="A91">
        <v>27242594</v>
      </c>
      <c r="B91" s="1" t="s">
        <v>11</v>
      </c>
      <c r="C91" s="1" t="s">
        <v>137</v>
      </c>
      <c r="D91" s="1" t="s">
        <v>152</v>
      </c>
      <c r="E91">
        <v>14</v>
      </c>
      <c r="F91">
        <v>22</v>
      </c>
      <c r="G91">
        <v>12</v>
      </c>
      <c r="H91">
        <v>27</v>
      </c>
      <c r="I91" t="str" cm="1">
        <f t="array" ref="I9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91">
        <f>vhodni_podatki[[#This Row],[HTML]]+vhodni_podatki[[#This Row],[LaTeX]]+vhodni_podatki[[#This Row],[Excel]]+vhodni_podatki[[#This Row],[Mathematica]]</f>
        <v>75</v>
      </c>
    </row>
    <row r="92" spans="1:10" x14ac:dyDescent="0.25">
      <c r="A92">
        <v>27242887</v>
      </c>
      <c r="B92" s="1" t="s">
        <v>11</v>
      </c>
      <c r="C92" s="1" t="s">
        <v>204</v>
      </c>
      <c r="D92" s="1" t="s">
        <v>205</v>
      </c>
      <c r="E92">
        <v>19</v>
      </c>
      <c r="F92">
        <v>33</v>
      </c>
      <c r="G92">
        <v>12</v>
      </c>
      <c r="H92">
        <v>26</v>
      </c>
      <c r="I92" t="str" cm="1">
        <f t="array" ref="I9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92">
        <f>vhodni_podatki[[#This Row],[HTML]]+vhodni_podatki[[#This Row],[LaTeX]]+vhodni_podatki[[#This Row],[Excel]]+vhodni_podatki[[#This Row],[Mathematica]]</f>
        <v>90</v>
      </c>
    </row>
    <row r="93" spans="1:10" x14ac:dyDescent="0.25">
      <c r="A93">
        <v>27242255</v>
      </c>
      <c r="B93" s="1" t="s">
        <v>11</v>
      </c>
      <c r="C93" s="1" t="s">
        <v>72</v>
      </c>
      <c r="D93" s="1" t="s">
        <v>73</v>
      </c>
      <c r="E93">
        <v>0</v>
      </c>
      <c r="F93">
        <v>0</v>
      </c>
      <c r="G93">
        <v>0</v>
      </c>
      <c r="H93">
        <v>0</v>
      </c>
      <c r="I93" t="str" cm="1">
        <f t="array" ref="I9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93">
        <f>vhodni_podatki[[#This Row],[HTML]]+vhodni_podatki[[#This Row],[LaTeX]]+vhodni_podatki[[#This Row],[Excel]]+vhodni_podatki[[#This Row],[Mathematica]]</f>
        <v>0</v>
      </c>
    </row>
    <row r="94" spans="1:10" x14ac:dyDescent="0.25">
      <c r="A94">
        <v>27242683</v>
      </c>
      <c r="B94" s="1" t="s">
        <v>8</v>
      </c>
      <c r="C94" s="1" t="s">
        <v>169</v>
      </c>
      <c r="D94" s="1" t="s">
        <v>170</v>
      </c>
      <c r="E94">
        <v>20</v>
      </c>
      <c r="F94">
        <v>36</v>
      </c>
      <c r="G94">
        <v>12</v>
      </c>
      <c r="H94">
        <v>32</v>
      </c>
      <c r="I94" t="str" cm="1">
        <f t="array" ref="I9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94">
        <f>vhodni_podatki[[#This Row],[HTML]]+vhodni_podatki[[#This Row],[LaTeX]]+vhodni_podatki[[#This Row],[Excel]]+vhodni_podatki[[#This Row],[Mathematica]]</f>
        <v>100</v>
      </c>
    </row>
    <row r="95" spans="1:10" x14ac:dyDescent="0.25">
      <c r="A95">
        <v>27242826</v>
      </c>
      <c r="B95" s="1" t="s">
        <v>11</v>
      </c>
      <c r="C95" s="1" t="s">
        <v>169</v>
      </c>
      <c r="D95" s="1" t="s">
        <v>195</v>
      </c>
      <c r="E95">
        <v>9</v>
      </c>
      <c r="F95">
        <v>18</v>
      </c>
      <c r="G95">
        <v>8</v>
      </c>
      <c r="H95">
        <v>21</v>
      </c>
      <c r="I95" t="str" cm="1">
        <f t="array" ref="I9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6</v>
      </c>
      <c r="J95">
        <f>vhodni_podatki[[#This Row],[HTML]]+vhodni_podatki[[#This Row],[LaTeX]]+vhodni_podatki[[#This Row],[Excel]]+vhodni_podatki[[#This Row],[Mathematica]]</f>
        <v>56</v>
      </c>
    </row>
    <row r="96" spans="1:10" x14ac:dyDescent="0.25">
      <c r="A96">
        <v>27242915</v>
      </c>
      <c r="B96" s="1" t="s">
        <v>11</v>
      </c>
      <c r="C96" s="1" t="s">
        <v>212</v>
      </c>
      <c r="D96" s="1" t="s">
        <v>213</v>
      </c>
      <c r="E96">
        <v>18</v>
      </c>
      <c r="F96">
        <v>30</v>
      </c>
      <c r="G96">
        <v>12</v>
      </c>
      <c r="H96">
        <v>23</v>
      </c>
      <c r="I96" t="str" cm="1">
        <f t="array" ref="I9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96">
        <f>vhodni_podatki[[#This Row],[HTML]]+vhodni_podatki[[#This Row],[LaTeX]]+vhodni_podatki[[#This Row],[Excel]]+vhodni_podatki[[#This Row],[Mathematica]]</f>
        <v>83</v>
      </c>
    </row>
    <row r="97" spans="1:10" x14ac:dyDescent="0.25">
      <c r="A97">
        <v>27242156</v>
      </c>
      <c r="B97" s="1" t="s">
        <v>11</v>
      </c>
      <c r="C97" s="1" t="s">
        <v>23</v>
      </c>
      <c r="D97" s="1" t="s">
        <v>48</v>
      </c>
      <c r="E97">
        <v>18</v>
      </c>
      <c r="F97">
        <v>32</v>
      </c>
      <c r="G97">
        <v>12</v>
      </c>
      <c r="H97">
        <v>29</v>
      </c>
      <c r="I97" t="str" cm="1">
        <f t="array" ref="I9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97">
        <f>vhodni_podatki[[#This Row],[HTML]]+vhodni_podatki[[#This Row],[LaTeX]]+vhodni_podatki[[#This Row],[Excel]]+vhodni_podatki[[#This Row],[Mathematica]]</f>
        <v>91</v>
      </c>
    </row>
    <row r="98" spans="1:10" x14ac:dyDescent="0.25">
      <c r="A98">
        <v>27242038</v>
      </c>
      <c r="B98" s="1" t="s">
        <v>11</v>
      </c>
      <c r="C98" s="1" t="s">
        <v>23</v>
      </c>
      <c r="D98" s="1" t="s">
        <v>24</v>
      </c>
      <c r="E98">
        <v>16</v>
      </c>
      <c r="F98">
        <v>10</v>
      </c>
      <c r="G98">
        <v>0</v>
      </c>
      <c r="H98">
        <v>26</v>
      </c>
      <c r="I98" t="str" cm="1">
        <f t="array" ref="I9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6</v>
      </c>
      <c r="J98">
        <f>vhodni_podatki[[#This Row],[HTML]]+vhodni_podatki[[#This Row],[LaTeX]]+vhodni_podatki[[#This Row],[Excel]]+vhodni_podatki[[#This Row],[Mathematica]]</f>
        <v>52</v>
      </c>
    </row>
    <row r="99" spans="1:10" x14ac:dyDescent="0.25">
      <c r="A99">
        <v>27242763</v>
      </c>
      <c r="B99" s="1" t="s">
        <v>11</v>
      </c>
      <c r="C99" s="1" t="s">
        <v>187</v>
      </c>
      <c r="D99" s="1" t="s">
        <v>188</v>
      </c>
      <c r="E99">
        <v>19</v>
      </c>
      <c r="F99">
        <v>34</v>
      </c>
      <c r="G99">
        <v>12</v>
      </c>
      <c r="H99">
        <v>29</v>
      </c>
      <c r="I99" t="str" cm="1">
        <f t="array" ref="I9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99">
        <f>vhodni_podatki[[#This Row],[HTML]]+vhodni_podatki[[#This Row],[LaTeX]]+vhodni_podatki[[#This Row],[Excel]]+vhodni_podatki[[#This Row],[Mathematica]]</f>
        <v>94</v>
      </c>
    </row>
    <row r="100" spans="1:10" x14ac:dyDescent="0.25">
      <c r="A100">
        <v>27242145</v>
      </c>
      <c r="B100" s="1" t="s">
        <v>8</v>
      </c>
      <c r="C100" s="1" t="s">
        <v>45</v>
      </c>
      <c r="D100" s="1" t="s">
        <v>46</v>
      </c>
      <c r="E100">
        <v>19</v>
      </c>
      <c r="F100">
        <v>36</v>
      </c>
      <c r="G100">
        <v>12</v>
      </c>
      <c r="H100">
        <v>32</v>
      </c>
      <c r="I100" t="str" cm="1">
        <f t="array" ref="I10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00">
        <f>vhodni_podatki[[#This Row],[HTML]]+vhodni_podatki[[#This Row],[LaTeX]]+vhodni_podatki[[#This Row],[Excel]]+vhodni_podatki[[#This Row],[Mathematica]]</f>
        <v>99</v>
      </c>
    </row>
    <row r="101" spans="1:10" x14ac:dyDescent="0.25">
      <c r="A101">
        <v>27242896</v>
      </c>
      <c r="B101" s="1" t="s">
        <v>8</v>
      </c>
      <c r="C101" s="1" t="s">
        <v>206</v>
      </c>
      <c r="D101" s="1" t="s">
        <v>207</v>
      </c>
      <c r="E101">
        <v>18</v>
      </c>
      <c r="F101">
        <v>35</v>
      </c>
      <c r="G101">
        <v>12</v>
      </c>
      <c r="H101">
        <v>30</v>
      </c>
      <c r="I101" t="str" cm="1">
        <f t="array" ref="I10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01">
        <f>vhodni_podatki[[#This Row],[HTML]]+vhodni_podatki[[#This Row],[LaTeX]]+vhodni_podatki[[#This Row],[Excel]]+vhodni_podatki[[#This Row],[Mathematica]]</f>
        <v>95</v>
      </c>
    </row>
    <row r="102" spans="1:10" x14ac:dyDescent="0.25">
      <c r="A102">
        <v>27242982</v>
      </c>
      <c r="B102" s="1" t="s">
        <v>11</v>
      </c>
      <c r="C102" s="1" t="s">
        <v>79</v>
      </c>
      <c r="D102" s="1" t="s">
        <v>231</v>
      </c>
      <c r="E102">
        <v>18</v>
      </c>
      <c r="F102">
        <v>34</v>
      </c>
      <c r="G102">
        <v>12</v>
      </c>
      <c r="H102">
        <v>30</v>
      </c>
      <c r="I102" t="str" cm="1">
        <f t="array" ref="I10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02">
        <f>vhodni_podatki[[#This Row],[HTML]]+vhodni_podatki[[#This Row],[LaTeX]]+vhodni_podatki[[#This Row],[Excel]]+vhodni_podatki[[#This Row],[Mathematica]]</f>
        <v>94</v>
      </c>
    </row>
    <row r="103" spans="1:10" x14ac:dyDescent="0.25">
      <c r="A103">
        <v>27242295</v>
      </c>
      <c r="B103" s="1" t="s">
        <v>16</v>
      </c>
      <c r="C103" s="1" t="s">
        <v>79</v>
      </c>
      <c r="D103" s="1" t="s">
        <v>80</v>
      </c>
      <c r="E103">
        <v>18</v>
      </c>
      <c r="F103">
        <v>25</v>
      </c>
      <c r="G103">
        <v>12</v>
      </c>
      <c r="H103">
        <v>31</v>
      </c>
      <c r="I103" t="str" cm="1">
        <f t="array" ref="I10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103">
        <f>vhodni_podatki[[#This Row],[HTML]]+vhodni_podatki[[#This Row],[LaTeX]]+vhodni_podatki[[#This Row],[Excel]]+vhodni_podatki[[#This Row],[Mathematica]]</f>
        <v>86</v>
      </c>
    </row>
    <row r="104" spans="1:10" x14ac:dyDescent="0.25">
      <c r="A104">
        <v>27242977</v>
      </c>
      <c r="B104" s="1" t="s">
        <v>11</v>
      </c>
      <c r="C104" s="1" t="s">
        <v>229</v>
      </c>
      <c r="D104" s="1" t="s">
        <v>230</v>
      </c>
      <c r="E104">
        <v>19</v>
      </c>
      <c r="F104">
        <v>30</v>
      </c>
      <c r="G104">
        <v>12</v>
      </c>
      <c r="H104">
        <v>24</v>
      </c>
      <c r="I104" t="str" cm="1">
        <f t="array" ref="I10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104">
        <f>vhodni_podatki[[#This Row],[HTML]]+vhodni_podatki[[#This Row],[LaTeX]]+vhodni_podatki[[#This Row],[Excel]]+vhodni_podatki[[#This Row],[Mathematica]]</f>
        <v>85</v>
      </c>
    </row>
    <row r="105" spans="1:10" x14ac:dyDescent="0.25">
      <c r="A105">
        <v>27242644</v>
      </c>
      <c r="B105" s="1" t="s">
        <v>8</v>
      </c>
      <c r="C105" s="1" t="s">
        <v>163</v>
      </c>
      <c r="D105" s="1" t="s">
        <v>164</v>
      </c>
      <c r="E105">
        <v>0</v>
      </c>
      <c r="F105">
        <v>0</v>
      </c>
      <c r="G105">
        <v>0</v>
      </c>
      <c r="H105">
        <v>25</v>
      </c>
      <c r="I105" t="str" cm="1">
        <f t="array" ref="I10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105">
        <f>vhodni_podatki[[#This Row],[HTML]]+vhodni_podatki[[#This Row],[LaTeX]]+vhodni_podatki[[#This Row],[Excel]]+vhodni_podatki[[#This Row],[Mathematica]]</f>
        <v>25</v>
      </c>
    </row>
    <row r="106" spans="1:10" x14ac:dyDescent="0.25">
      <c r="A106">
        <v>27242548</v>
      </c>
      <c r="B106" s="1" t="s">
        <v>11</v>
      </c>
      <c r="C106" s="1" t="s">
        <v>140</v>
      </c>
      <c r="D106" s="1" t="s">
        <v>141</v>
      </c>
      <c r="E106">
        <v>19</v>
      </c>
      <c r="F106">
        <v>34</v>
      </c>
      <c r="G106">
        <v>12</v>
      </c>
      <c r="H106">
        <v>26</v>
      </c>
      <c r="I106" t="str" cm="1">
        <f t="array" ref="I10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06">
        <f>vhodni_podatki[[#This Row],[HTML]]+vhodni_podatki[[#This Row],[LaTeX]]+vhodni_podatki[[#This Row],[Excel]]+vhodni_podatki[[#This Row],[Mathematica]]</f>
        <v>91</v>
      </c>
    </row>
    <row r="107" spans="1:10" x14ac:dyDescent="0.25">
      <c r="A107">
        <v>27242960</v>
      </c>
      <c r="B107" s="1" t="s">
        <v>11</v>
      </c>
      <c r="C107" s="1" t="s">
        <v>55</v>
      </c>
      <c r="D107" s="1" t="s">
        <v>226</v>
      </c>
      <c r="E107">
        <v>16</v>
      </c>
      <c r="F107">
        <v>29</v>
      </c>
      <c r="G107">
        <v>12</v>
      </c>
      <c r="H107">
        <v>17</v>
      </c>
      <c r="I107" t="str" cm="1">
        <f t="array" ref="I10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107">
        <f>vhodni_podatki[[#This Row],[HTML]]+vhodni_podatki[[#This Row],[LaTeX]]+vhodni_podatki[[#This Row],[Excel]]+vhodni_podatki[[#This Row],[Mathematica]]</f>
        <v>74</v>
      </c>
    </row>
    <row r="108" spans="1:10" x14ac:dyDescent="0.25">
      <c r="A108">
        <v>27242178</v>
      </c>
      <c r="B108" s="1" t="s">
        <v>8</v>
      </c>
      <c r="C108" s="1" t="s">
        <v>55</v>
      </c>
      <c r="D108" s="1" t="s">
        <v>56</v>
      </c>
      <c r="E108">
        <v>18</v>
      </c>
      <c r="F108">
        <v>36</v>
      </c>
      <c r="G108">
        <v>12</v>
      </c>
      <c r="H108">
        <v>32</v>
      </c>
      <c r="I108" t="str" cm="1">
        <f t="array" ref="I10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08">
        <f>vhodni_podatki[[#This Row],[HTML]]+vhodni_podatki[[#This Row],[LaTeX]]+vhodni_podatki[[#This Row],[Excel]]+vhodni_podatki[[#This Row],[Mathematica]]</f>
        <v>98</v>
      </c>
    </row>
    <row r="109" spans="1:10" x14ac:dyDescent="0.25">
      <c r="A109">
        <v>27242438</v>
      </c>
      <c r="B109" s="1" t="s">
        <v>8</v>
      </c>
      <c r="C109" s="1" t="s">
        <v>81</v>
      </c>
      <c r="D109" s="1" t="s">
        <v>118</v>
      </c>
      <c r="E109">
        <v>13</v>
      </c>
      <c r="F109">
        <v>22</v>
      </c>
      <c r="G109">
        <v>5</v>
      </c>
      <c r="H109">
        <v>30</v>
      </c>
      <c r="I109" t="str" cm="1">
        <f t="array" ref="I10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109">
        <f>vhodni_podatki[[#This Row],[HTML]]+vhodni_podatki[[#This Row],[LaTeX]]+vhodni_podatki[[#This Row],[Excel]]+vhodni_podatki[[#This Row],[Mathematica]]</f>
        <v>70</v>
      </c>
    </row>
    <row r="110" spans="1:10" x14ac:dyDescent="0.25">
      <c r="A110">
        <v>27242298</v>
      </c>
      <c r="B110" s="1" t="s">
        <v>8</v>
      </c>
      <c r="C110" s="1" t="s">
        <v>81</v>
      </c>
      <c r="D110" s="1" t="s">
        <v>82</v>
      </c>
      <c r="E110">
        <v>20</v>
      </c>
      <c r="F110">
        <v>36</v>
      </c>
      <c r="G110">
        <v>12</v>
      </c>
      <c r="H110">
        <v>30</v>
      </c>
      <c r="I110" t="str" cm="1">
        <f t="array" ref="I11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10">
        <f>vhodni_podatki[[#This Row],[HTML]]+vhodni_podatki[[#This Row],[LaTeX]]+vhodni_podatki[[#This Row],[Excel]]+vhodni_podatki[[#This Row],[Mathematica]]</f>
        <v>98</v>
      </c>
    </row>
    <row r="111" spans="1:10" x14ac:dyDescent="0.25">
      <c r="A111">
        <v>27242737</v>
      </c>
      <c r="B111" s="1" t="s">
        <v>8</v>
      </c>
      <c r="C111" s="1" t="s">
        <v>51</v>
      </c>
      <c r="D111" s="1" t="s">
        <v>182</v>
      </c>
      <c r="E111">
        <v>10</v>
      </c>
      <c r="F111">
        <v>17</v>
      </c>
      <c r="G111">
        <v>0</v>
      </c>
      <c r="H111">
        <v>18</v>
      </c>
      <c r="I111" t="str" cm="1">
        <f t="array" ref="I11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111">
        <f>vhodni_podatki[[#This Row],[HTML]]+vhodni_podatki[[#This Row],[LaTeX]]+vhodni_podatki[[#This Row],[Excel]]+vhodni_podatki[[#This Row],[Mathematica]]</f>
        <v>45</v>
      </c>
    </row>
    <row r="112" spans="1:10" x14ac:dyDescent="0.25">
      <c r="A112">
        <v>27242169</v>
      </c>
      <c r="B112" s="1" t="s">
        <v>11</v>
      </c>
      <c r="C112" s="1" t="s">
        <v>51</v>
      </c>
      <c r="D112" s="1" t="s">
        <v>52</v>
      </c>
      <c r="E112">
        <v>0</v>
      </c>
      <c r="F112">
        <v>0</v>
      </c>
      <c r="G112">
        <v>0</v>
      </c>
      <c r="H112">
        <v>0</v>
      </c>
      <c r="I112" t="str" cm="1">
        <f t="array" ref="I11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112">
        <f>vhodni_podatki[[#This Row],[HTML]]+vhodni_podatki[[#This Row],[LaTeX]]+vhodni_podatki[[#This Row],[Excel]]+vhodni_podatki[[#This Row],[Mathematica]]</f>
        <v>0</v>
      </c>
    </row>
    <row r="113" spans="1:10" x14ac:dyDescent="0.25">
      <c r="A113">
        <v>27242621</v>
      </c>
      <c r="B113" s="1" t="s">
        <v>8</v>
      </c>
      <c r="C113" s="1" t="s">
        <v>159</v>
      </c>
      <c r="D113" s="1" t="s">
        <v>160</v>
      </c>
      <c r="E113">
        <v>0</v>
      </c>
      <c r="F113">
        <v>3</v>
      </c>
      <c r="G113">
        <v>0</v>
      </c>
      <c r="H113">
        <v>0</v>
      </c>
      <c r="I113" t="str" cm="1">
        <f t="array" ref="I11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113">
        <f>vhodni_podatki[[#This Row],[HTML]]+vhodni_podatki[[#This Row],[LaTeX]]+vhodni_podatki[[#This Row],[Excel]]+vhodni_podatki[[#This Row],[Mathematica]]</f>
        <v>3</v>
      </c>
    </row>
    <row r="114" spans="1:10" x14ac:dyDescent="0.25">
      <c r="A114">
        <v>27242474</v>
      </c>
      <c r="B114" s="1" t="s">
        <v>11</v>
      </c>
      <c r="C114" s="1" t="s">
        <v>124</v>
      </c>
      <c r="D114" s="1" t="s">
        <v>125</v>
      </c>
      <c r="E114">
        <v>10</v>
      </c>
      <c r="F114">
        <v>31</v>
      </c>
      <c r="G114">
        <v>12</v>
      </c>
      <c r="H114">
        <v>27</v>
      </c>
      <c r="I114" t="str" cm="1">
        <f t="array" ref="I11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114">
        <f>vhodni_podatki[[#This Row],[HTML]]+vhodni_podatki[[#This Row],[LaTeX]]+vhodni_podatki[[#This Row],[Excel]]+vhodni_podatki[[#This Row],[Mathematica]]</f>
        <v>80</v>
      </c>
    </row>
    <row r="115" spans="1:10" x14ac:dyDescent="0.25">
      <c r="A115">
        <v>27242089</v>
      </c>
      <c r="B115" s="1" t="s">
        <v>11</v>
      </c>
      <c r="C115" s="1" t="s">
        <v>29</v>
      </c>
      <c r="D115" s="1" t="s">
        <v>30</v>
      </c>
      <c r="E115">
        <v>0</v>
      </c>
      <c r="F115">
        <v>33</v>
      </c>
      <c r="G115">
        <v>0</v>
      </c>
      <c r="H115">
        <v>29</v>
      </c>
      <c r="I115" t="str" cm="1">
        <f t="array" ref="I11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115">
        <f>vhodni_podatki[[#This Row],[HTML]]+vhodni_podatki[[#This Row],[LaTeX]]+vhodni_podatki[[#This Row],[Excel]]+vhodni_podatki[[#This Row],[Mathematica]]</f>
        <v>62</v>
      </c>
    </row>
    <row r="116" spans="1:10" x14ac:dyDescent="0.25">
      <c r="A116">
        <v>27242919</v>
      </c>
      <c r="B116" s="1" t="s">
        <v>8</v>
      </c>
      <c r="C116" s="1" t="s">
        <v>214</v>
      </c>
      <c r="D116" s="1" t="s">
        <v>215</v>
      </c>
      <c r="E116">
        <v>18</v>
      </c>
      <c r="F116">
        <v>31</v>
      </c>
      <c r="G116">
        <v>11</v>
      </c>
      <c r="H116">
        <v>27</v>
      </c>
      <c r="I116" t="str" cm="1">
        <f t="array" ref="I11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116">
        <f>vhodni_podatki[[#This Row],[HTML]]+vhodni_podatki[[#This Row],[LaTeX]]+vhodni_podatki[[#This Row],[Excel]]+vhodni_podatki[[#This Row],[Mathematica]]</f>
        <v>87</v>
      </c>
    </row>
    <row r="117" spans="1:10" x14ac:dyDescent="0.25">
      <c r="A117">
        <v>27242512</v>
      </c>
      <c r="B117" s="1" t="s">
        <v>8</v>
      </c>
      <c r="C117" s="1" t="s">
        <v>95</v>
      </c>
      <c r="D117" s="1" t="s">
        <v>136</v>
      </c>
      <c r="E117">
        <v>20</v>
      </c>
      <c r="F117">
        <v>32</v>
      </c>
      <c r="G117">
        <v>8</v>
      </c>
      <c r="H117">
        <v>24</v>
      </c>
      <c r="I117" t="str" cm="1">
        <f t="array" ref="I11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117">
        <f>vhodni_podatki[[#This Row],[HTML]]+vhodni_podatki[[#This Row],[LaTeX]]+vhodni_podatki[[#This Row],[Excel]]+vhodni_podatki[[#This Row],[Mathematica]]</f>
        <v>84</v>
      </c>
    </row>
    <row r="118" spans="1:10" x14ac:dyDescent="0.25">
      <c r="A118">
        <v>27242361</v>
      </c>
      <c r="B118" s="1" t="s">
        <v>11</v>
      </c>
      <c r="C118" s="1" t="s">
        <v>95</v>
      </c>
      <c r="D118" s="1" t="s">
        <v>96</v>
      </c>
      <c r="E118">
        <v>0</v>
      </c>
      <c r="F118">
        <v>0</v>
      </c>
      <c r="G118">
        <v>0</v>
      </c>
      <c r="H118">
        <v>0</v>
      </c>
      <c r="I118" t="str" cm="1">
        <f t="array" ref="I11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118">
        <f>vhodni_podatki[[#This Row],[HTML]]+vhodni_podatki[[#This Row],[LaTeX]]+vhodni_podatki[[#This Row],[Excel]]+vhodni_podatki[[#This Row],[Mathematica]]</f>
        <v>0</v>
      </c>
    </row>
    <row r="119" spans="1:10" x14ac:dyDescent="0.25">
      <c r="A119">
        <v>27242498</v>
      </c>
      <c r="B119" s="1" t="s">
        <v>8</v>
      </c>
      <c r="C119" s="1" t="s">
        <v>130</v>
      </c>
      <c r="D119" s="1" t="s">
        <v>131</v>
      </c>
      <c r="E119">
        <v>10</v>
      </c>
      <c r="F119">
        <v>15</v>
      </c>
      <c r="G119">
        <v>9</v>
      </c>
      <c r="H119">
        <v>29</v>
      </c>
      <c r="I119" t="str" cm="1">
        <f t="array" ref="I11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7</v>
      </c>
      <c r="J119">
        <f>vhodni_podatki[[#This Row],[HTML]]+vhodni_podatki[[#This Row],[LaTeX]]+vhodni_podatki[[#This Row],[Excel]]+vhodni_podatki[[#This Row],[Mathematica]]</f>
        <v>63</v>
      </c>
    </row>
    <row r="120" spans="1:10" x14ac:dyDescent="0.25">
      <c r="A120">
        <v>27242590</v>
      </c>
      <c r="B120" s="1" t="s">
        <v>11</v>
      </c>
      <c r="C120" s="1" t="s">
        <v>150</v>
      </c>
      <c r="D120" s="1" t="s">
        <v>151</v>
      </c>
      <c r="E120">
        <v>0</v>
      </c>
      <c r="F120">
        <v>13</v>
      </c>
      <c r="G120">
        <v>0</v>
      </c>
      <c r="H120">
        <v>23</v>
      </c>
      <c r="I120" t="str" cm="1">
        <f t="array" ref="I12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120">
        <f>vhodni_podatki[[#This Row],[HTML]]+vhodni_podatki[[#This Row],[LaTeX]]+vhodni_podatki[[#This Row],[Excel]]+vhodni_podatki[[#This Row],[Mathematica]]</f>
        <v>36</v>
      </c>
    </row>
    <row r="121" spans="1:10" x14ac:dyDescent="0.25">
      <c r="A121">
        <v>27242829</v>
      </c>
      <c r="B121" s="1" t="s">
        <v>11</v>
      </c>
      <c r="C121" s="1" t="s">
        <v>196</v>
      </c>
      <c r="D121" s="1" t="s">
        <v>197</v>
      </c>
      <c r="E121">
        <v>16</v>
      </c>
      <c r="F121">
        <v>33</v>
      </c>
      <c r="G121">
        <v>12</v>
      </c>
      <c r="H121">
        <v>28</v>
      </c>
      <c r="I121" t="str" cm="1">
        <f t="array" ref="I12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121">
        <f>vhodni_podatki[[#This Row],[HTML]]+vhodni_podatki[[#This Row],[LaTeX]]+vhodni_podatki[[#This Row],[Excel]]+vhodni_podatki[[#This Row],[Mathematica]]</f>
        <v>89</v>
      </c>
    </row>
    <row r="122" spans="1:10" x14ac:dyDescent="0.25">
      <c r="A122">
        <v>27242869</v>
      </c>
      <c r="B122" s="1" t="s">
        <v>11</v>
      </c>
      <c r="C122" s="1" t="s">
        <v>202</v>
      </c>
      <c r="D122" s="1" t="s">
        <v>203</v>
      </c>
      <c r="E122">
        <v>19</v>
      </c>
      <c r="F122">
        <v>24</v>
      </c>
      <c r="G122">
        <v>12</v>
      </c>
      <c r="H122">
        <v>29</v>
      </c>
      <c r="I122" t="str" cm="1">
        <f t="array" ref="I12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9</v>
      </c>
      <c r="J122">
        <f>vhodni_podatki[[#This Row],[HTML]]+vhodni_podatki[[#This Row],[LaTeX]]+vhodni_podatki[[#This Row],[Excel]]+vhodni_podatki[[#This Row],[Mathematica]]</f>
        <v>84</v>
      </c>
    </row>
    <row r="123" spans="1:10" x14ac:dyDescent="0.25">
      <c r="A123">
        <v>27242312</v>
      </c>
      <c r="B123" s="1" t="s">
        <v>67</v>
      </c>
      <c r="C123" s="1" t="s">
        <v>85</v>
      </c>
      <c r="D123" s="1" t="s">
        <v>86</v>
      </c>
      <c r="E123">
        <v>19</v>
      </c>
      <c r="F123">
        <v>24</v>
      </c>
      <c r="G123">
        <v>12</v>
      </c>
      <c r="H123">
        <v>15</v>
      </c>
      <c r="I123" t="str" cm="1">
        <f t="array" ref="I12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123">
        <f>vhodni_podatki[[#This Row],[HTML]]+vhodni_podatki[[#This Row],[LaTeX]]+vhodni_podatki[[#This Row],[Excel]]+vhodni_podatki[[#This Row],[Mathematica]]</f>
        <v>70</v>
      </c>
    </row>
    <row r="124" spans="1:10" x14ac:dyDescent="0.25">
      <c r="A124">
        <v>27242717</v>
      </c>
      <c r="B124" s="1" t="s">
        <v>11</v>
      </c>
      <c r="C124" s="1" t="s">
        <v>85</v>
      </c>
      <c r="D124" s="1" t="s">
        <v>180</v>
      </c>
      <c r="E124">
        <v>17</v>
      </c>
      <c r="F124">
        <v>19</v>
      </c>
      <c r="G124">
        <v>12</v>
      </c>
      <c r="H124">
        <v>28</v>
      </c>
      <c r="I124" t="str" cm="1">
        <f t="array" ref="I12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124">
        <f>vhodni_podatki[[#This Row],[HTML]]+vhodni_podatki[[#This Row],[LaTeX]]+vhodni_podatki[[#This Row],[Excel]]+vhodni_podatki[[#This Row],[Mathematica]]</f>
        <v>76</v>
      </c>
    </row>
    <row r="125" spans="1:10" x14ac:dyDescent="0.25">
      <c r="A125">
        <v>27242108</v>
      </c>
      <c r="B125" s="1" t="s">
        <v>8</v>
      </c>
      <c r="C125" s="1" t="s">
        <v>39</v>
      </c>
      <c r="D125" s="1" t="s">
        <v>40</v>
      </c>
      <c r="E125">
        <v>17</v>
      </c>
      <c r="F125">
        <v>35</v>
      </c>
      <c r="G125">
        <v>12</v>
      </c>
      <c r="H125">
        <v>32</v>
      </c>
      <c r="I125" t="str" cm="1">
        <f t="array" ref="I12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25">
        <f>vhodni_podatki[[#This Row],[HTML]]+vhodni_podatki[[#This Row],[LaTeX]]+vhodni_podatki[[#This Row],[Excel]]+vhodni_podatki[[#This Row],[Mathematica]]</f>
        <v>96</v>
      </c>
    </row>
    <row r="126" spans="1:10" x14ac:dyDescent="0.25">
      <c r="A126">
        <v>27242958</v>
      </c>
      <c r="B126" s="1" t="s">
        <v>67</v>
      </c>
      <c r="C126" s="1" t="s">
        <v>53</v>
      </c>
      <c r="D126" s="1" t="s">
        <v>225</v>
      </c>
      <c r="E126">
        <v>0</v>
      </c>
      <c r="F126">
        <v>9</v>
      </c>
      <c r="G126">
        <v>9</v>
      </c>
      <c r="H126">
        <v>17</v>
      </c>
      <c r="I126" t="str" cm="1">
        <f t="array" ref="I126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126">
        <f>vhodni_podatki[[#This Row],[HTML]]+vhodni_podatki[[#This Row],[LaTeX]]+vhodni_podatki[[#This Row],[Excel]]+vhodni_podatki[[#This Row],[Mathematica]]</f>
        <v>35</v>
      </c>
    </row>
    <row r="127" spans="1:10" x14ac:dyDescent="0.25">
      <c r="A127">
        <v>27242174</v>
      </c>
      <c r="B127" s="1" t="s">
        <v>8</v>
      </c>
      <c r="C127" s="1" t="s">
        <v>53</v>
      </c>
      <c r="D127" s="1" t="s">
        <v>54</v>
      </c>
      <c r="E127">
        <v>20</v>
      </c>
      <c r="F127">
        <v>35</v>
      </c>
      <c r="G127">
        <v>12</v>
      </c>
      <c r="H127">
        <v>29</v>
      </c>
      <c r="I127" t="str" cm="1">
        <f t="array" ref="I127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27">
        <f>vhodni_podatki[[#This Row],[HTML]]+vhodni_podatki[[#This Row],[LaTeX]]+vhodni_podatki[[#This Row],[Excel]]+vhodni_podatki[[#This Row],[Mathematica]]</f>
        <v>96</v>
      </c>
    </row>
    <row r="128" spans="1:10" x14ac:dyDescent="0.25">
      <c r="A128">
        <v>28242114</v>
      </c>
      <c r="B128" s="1" t="s">
        <v>236</v>
      </c>
      <c r="C128" s="1" t="s">
        <v>237</v>
      </c>
      <c r="D128" s="1" t="s">
        <v>238</v>
      </c>
      <c r="E128">
        <v>0</v>
      </c>
      <c r="F128">
        <v>0</v>
      </c>
      <c r="G128">
        <v>0</v>
      </c>
      <c r="H128">
        <v>0</v>
      </c>
      <c r="I128" t="str" cm="1">
        <f t="array" ref="I128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128">
        <f>vhodni_podatki[[#This Row],[HTML]]+vhodni_podatki[[#This Row],[LaTeX]]+vhodni_podatki[[#This Row],[Excel]]+vhodni_podatki[[#This Row],[Mathematica]]</f>
        <v>0</v>
      </c>
    </row>
    <row r="129" spans="1:10" x14ac:dyDescent="0.25">
      <c r="A129">
        <v>27242102</v>
      </c>
      <c r="B129" s="1" t="s">
        <v>8</v>
      </c>
      <c r="C129" s="1" t="s">
        <v>37</v>
      </c>
      <c r="D129" s="1" t="s">
        <v>38</v>
      </c>
      <c r="E129">
        <v>20</v>
      </c>
      <c r="F129">
        <v>36</v>
      </c>
      <c r="G129">
        <v>12</v>
      </c>
      <c r="H129">
        <v>27</v>
      </c>
      <c r="I129" t="str" cm="1">
        <f t="array" ref="I129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29">
        <f>vhodni_podatki[[#This Row],[HTML]]+vhodni_podatki[[#This Row],[LaTeX]]+vhodni_podatki[[#This Row],[Excel]]+vhodni_podatki[[#This Row],[Mathematica]]</f>
        <v>95</v>
      </c>
    </row>
    <row r="130" spans="1:10" x14ac:dyDescent="0.25">
      <c r="A130">
        <v>27242539</v>
      </c>
      <c r="B130" s="1" t="s">
        <v>8</v>
      </c>
      <c r="C130" s="1" t="s">
        <v>139</v>
      </c>
      <c r="D130" s="1" t="s">
        <v>104</v>
      </c>
      <c r="E130">
        <v>0</v>
      </c>
      <c r="F130">
        <v>7</v>
      </c>
      <c r="G130">
        <v>0</v>
      </c>
      <c r="H130">
        <v>16</v>
      </c>
      <c r="I130" t="str" cm="1">
        <f t="array" ref="I130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5</v>
      </c>
      <c r="J130">
        <f>vhodni_podatki[[#This Row],[HTML]]+vhodni_podatki[[#This Row],[LaTeX]]+vhodni_podatki[[#This Row],[Excel]]+vhodni_podatki[[#This Row],[Mathematica]]</f>
        <v>23</v>
      </c>
    </row>
    <row r="131" spans="1:10" x14ac:dyDescent="0.25">
      <c r="A131">
        <v>27242732</v>
      </c>
      <c r="B131" s="1" t="s">
        <v>8</v>
      </c>
      <c r="C131" s="1" t="s">
        <v>139</v>
      </c>
      <c r="D131" s="1" t="s">
        <v>181</v>
      </c>
      <c r="E131">
        <v>19</v>
      </c>
      <c r="F131">
        <v>32</v>
      </c>
      <c r="G131">
        <v>9</v>
      </c>
      <c r="H131">
        <v>19</v>
      </c>
      <c r="I131" t="str" cm="1">
        <f t="array" ref="I131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131">
        <f>vhodni_podatki[[#This Row],[HTML]]+vhodni_podatki[[#This Row],[LaTeX]]+vhodni_podatki[[#This Row],[Excel]]+vhodni_podatki[[#This Row],[Mathematica]]</f>
        <v>79</v>
      </c>
    </row>
    <row r="132" spans="1:10" x14ac:dyDescent="0.25">
      <c r="A132">
        <v>27242153</v>
      </c>
      <c r="B132" s="1" t="s">
        <v>8</v>
      </c>
      <c r="C132" s="1" t="s">
        <v>12</v>
      </c>
      <c r="D132" s="1" t="s">
        <v>47</v>
      </c>
      <c r="E132">
        <v>15</v>
      </c>
      <c r="F132">
        <v>36</v>
      </c>
      <c r="G132">
        <v>12</v>
      </c>
      <c r="H132">
        <v>32</v>
      </c>
      <c r="I132" t="str" cm="1">
        <f t="array" ref="I132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32">
        <f>vhodni_podatki[[#This Row],[HTML]]+vhodni_podatki[[#This Row],[LaTeX]]+vhodni_podatki[[#This Row],[Excel]]+vhodni_podatki[[#This Row],[Mathematica]]</f>
        <v>95</v>
      </c>
    </row>
    <row r="133" spans="1:10" x14ac:dyDescent="0.25">
      <c r="A133">
        <v>27242013</v>
      </c>
      <c r="B133" s="1" t="s">
        <v>11</v>
      </c>
      <c r="C133" s="1" t="s">
        <v>12</v>
      </c>
      <c r="D133" s="1" t="s">
        <v>13</v>
      </c>
      <c r="E133">
        <v>18</v>
      </c>
      <c r="F133">
        <v>17</v>
      </c>
      <c r="G133">
        <v>12</v>
      </c>
      <c r="H133">
        <v>23</v>
      </c>
      <c r="I133" t="str" cm="1">
        <f t="array" ref="I133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8</v>
      </c>
      <c r="J133">
        <f>vhodni_podatki[[#This Row],[HTML]]+vhodni_podatki[[#This Row],[LaTeX]]+vhodni_podatki[[#This Row],[Excel]]+vhodni_podatki[[#This Row],[Mathematica]]</f>
        <v>70</v>
      </c>
    </row>
    <row r="134" spans="1:10" x14ac:dyDescent="0.25">
      <c r="A134">
        <v>27242695</v>
      </c>
      <c r="B134" s="1" t="s">
        <v>67</v>
      </c>
      <c r="C134" s="1" t="s">
        <v>175</v>
      </c>
      <c r="D134" s="1" t="s">
        <v>176</v>
      </c>
      <c r="E134">
        <v>20</v>
      </c>
      <c r="F134">
        <v>36</v>
      </c>
      <c r="G134">
        <v>12</v>
      </c>
      <c r="H134">
        <v>31</v>
      </c>
      <c r="I134" t="str" cm="1">
        <f t="array" ref="I134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34">
        <f>vhodni_podatki[[#This Row],[HTML]]+vhodni_podatki[[#This Row],[LaTeX]]+vhodni_podatki[[#This Row],[Excel]]+vhodni_podatki[[#This Row],[Mathematica]]</f>
        <v>99</v>
      </c>
    </row>
    <row r="135" spans="1:10" x14ac:dyDescent="0.25">
      <c r="A135">
        <v>27242677</v>
      </c>
      <c r="B135" s="1" t="s">
        <v>16</v>
      </c>
      <c r="C135" s="1" t="s">
        <v>167</v>
      </c>
      <c r="D135" s="1" t="s">
        <v>168</v>
      </c>
      <c r="E135">
        <v>20</v>
      </c>
      <c r="F135">
        <v>33</v>
      </c>
      <c r="G135">
        <v>12</v>
      </c>
      <c r="H135">
        <v>30</v>
      </c>
      <c r="I135" t="str" cm="1">
        <f t="array" ref="I135">_xlfn.IFS(vhodni_podatki[[#This Row],[Skupno]]&gt;=90, "10", vhodni_podatki[[#This Row],[Skupno]]&gt;=80, "9", vhodni_podatki[[#This Row],[Skupno]]&gt;=70, "8", vhodni_podatki[[#This Row],[Skupno]]&gt;=60, "7", vhodni_podatki[[#This Row],[Skupno]]&gt;=50, "6", vhodni_podatki[[#This Row],[Skupno]]&lt;50, "5")</f>
        <v>10</v>
      </c>
      <c r="J135">
        <f>vhodni_podatki[[#This Row],[HTML]]+vhodni_podatki[[#This Row],[LaTeX]]+vhodni_podatki[[#This Row],[Excel]]+vhodni_podatki[[#This Row],[Mathematica]]</f>
        <v>95</v>
      </c>
    </row>
  </sheetData>
  <conditionalFormatting sqref="J2:J135">
    <cfRule type="expression" dxfId="2" priority="8">
      <formula>$J2&lt;50</formula>
    </cfRule>
  </conditionalFormatting>
  <conditionalFormatting sqref="J2:J135">
    <cfRule type="expression" dxfId="1" priority="1">
      <formula>$J2&gt;=90</formula>
    </cfRule>
  </conditionalFormatting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869B-658B-4EBE-8F0E-5005E97838F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936A71-E607-45F1-8CDF-5F9FC39643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vhodni-podatki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Taja Pervinšek</dc:creator>
  <cp:lastModifiedBy>Taja Pervinšek</cp:lastModifiedBy>
  <dcterms:created xsi:type="dcterms:W3CDTF">2026-02-08T11:09:10Z</dcterms:created>
  <dcterms:modified xsi:type="dcterms:W3CDTF">2026-02-08T12:00:47Z</dcterms:modified>
</cp:coreProperties>
</file>