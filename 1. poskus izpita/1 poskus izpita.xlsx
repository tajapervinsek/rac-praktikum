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1. poskus izpita/"/>
    </mc:Choice>
  </mc:AlternateContent>
  <xr:revisionPtr revIDLastSave="0" documentId="8_{4EBBFF3B-DCD2-4980-9D21-D26E40EC9BA9}" xr6:coauthVersionLast="47" xr6:coauthVersionMax="47" xr10:uidLastSave="{00000000-0000-0000-0000-000000000000}"/>
  <bookViews>
    <workbookView xWindow="-120" yWindow="-120" windowWidth="29040" windowHeight="15720" xr2:uid="{2DD015E7-3DCF-4075-BC9B-1C610C11E1F4}"/>
  </bookViews>
  <sheets>
    <sheet name="vhodni-podatki" sheetId="2" r:id="rId1"/>
    <sheet name="List1" sheetId="1" r:id="rId2"/>
  </sheets>
  <definedNames>
    <definedName name="ExternalData_1" localSheetId="0" hidden="1">'vhodni-podatki'!$A$1:$E$33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74FDCA-9C49-4A52-B81F-38B43C3F017B}" keepAlive="1" name="Poizvedba – vhodni-podatki" description="Povezava s poizvedbo »vhodni-podatki« v delovnem zvezku." type="5" refreshedVersion="8" background="1" saveData="1">
    <dbPr connection="Provider=Microsoft.Mashup.OleDb.1;Data Source=$Workbook$;Location=vhodni-podatki;Extended Properties=&quot;&quot;" command="SELECT * FROM [vhodni-podatki]"/>
  </connection>
</connections>
</file>

<file path=xl/sharedStrings.xml><?xml version="1.0" encoding="utf-8"?>
<sst xmlns="http://schemas.openxmlformats.org/spreadsheetml/2006/main" count="78" uniqueCount="46">
  <si>
    <t>Vrsta</t>
  </si>
  <si>
    <t>Višina (bc)</t>
  </si>
  <si>
    <t>Teža (t oz)</t>
  </si>
  <si>
    <t>Tip</t>
  </si>
  <si>
    <t>Hitrost</t>
  </si>
  <si>
    <t>Bulbasaur</t>
  </si>
  <si>
    <t>Običajen</t>
  </si>
  <si>
    <t>Venusaur</t>
  </si>
  <si>
    <t>Leteč</t>
  </si>
  <si>
    <t>Charmander</t>
  </si>
  <si>
    <t>Charizard</t>
  </si>
  <si>
    <t>Squirtle</t>
  </si>
  <si>
    <t>Blastoise</t>
  </si>
  <si>
    <t>Butterfree</t>
  </si>
  <si>
    <t>Pidgey</t>
  </si>
  <si>
    <t>Pidgeot</t>
  </si>
  <si>
    <t>Pikachu</t>
  </si>
  <si>
    <t>Sandslash</t>
  </si>
  <si>
    <t>Ognjen</t>
  </si>
  <si>
    <t>Nidoking</t>
  </si>
  <si>
    <t>Clefable</t>
  </si>
  <si>
    <t>Ninetales</t>
  </si>
  <si>
    <t>Golbat</t>
  </si>
  <si>
    <t>Jasnoviden</t>
  </si>
  <si>
    <t>Dugtrio</t>
  </si>
  <si>
    <t>Meowth</t>
  </si>
  <si>
    <t>Machamp</t>
  </si>
  <si>
    <t>Golem</t>
  </si>
  <si>
    <t>Rapidash</t>
  </si>
  <si>
    <t>Magneton</t>
  </si>
  <si>
    <t>Gengar</t>
  </si>
  <si>
    <t>Onix</t>
  </si>
  <si>
    <t>Rhydon</t>
  </si>
  <si>
    <t>Gyarados</t>
  </si>
  <si>
    <t>Ditto</t>
  </si>
  <si>
    <t>Eevee</t>
  </si>
  <si>
    <t>Vaporeon</t>
  </si>
  <si>
    <t>Jolteon</t>
  </si>
  <si>
    <t>Flareon</t>
  </si>
  <si>
    <t>Snorlax</t>
  </si>
  <si>
    <t>Dragonite</t>
  </si>
  <si>
    <t>Gostota</t>
  </si>
  <si>
    <t>Oznake vrstic</t>
  </si>
  <si>
    <t>Maks od Hitrost</t>
  </si>
  <si>
    <t>Povprečje od Gostota</t>
  </si>
  <si>
    <t>Najhitrejši pokemon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</si>
</sst>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avadno" xfId="0" builtinId="0"/>
  </cellStyles>
  <dxfs count="24"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169" formatCode="0.000"/>
    </dxf>
    <dxf>
      <numFmt numFmtId="164" formatCode="0.0"/>
    </dxf>
    <dxf>
      <numFmt numFmtId="169" formatCode="0.000"/>
    </dxf>
    <dxf>
      <numFmt numFmtId="168" formatCode="0.0000"/>
    </dxf>
    <dxf>
      <numFmt numFmtId="164" formatCode="0.0"/>
    </dxf>
    <dxf>
      <numFmt numFmtId="168" formatCode="0.0000"/>
    </dxf>
    <dxf>
      <numFmt numFmtId="167" formatCode="0.00000"/>
    </dxf>
    <dxf>
      <numFmt numFmtId="164" formatCode="0.0"/>
    </dxf>
    <dxf>
      <numFmt numFmtId="167" formatCode="0.00000"/>
    </dxf>
    <dxf>
      <numFmt numFmtId="166" formatCode="0.000000"/>
    </dxf>
    <dxf>
      <numFmt numFmtId="164" formatCode="0.0"/>
    </dxf>
    <dxf>
      <numFmt numFmtId="166" formatCode="0.000000"/>
    </dxf>
    <dxf>
      <numFmt numFmtId="165" formatCode="0.0000000"/>
    </dxf>
    <dxf>
      <numFmt numFmtId="164" formatCode="0.0"/>
    </dxf>
    <dxf>
      <numFmt numFmtId="165" formatCode="0.0000000"/>
    </dxf>
    <dxf>
      <numFmt numFmtId="164" formatCode="0.0"/>
    </dxf>
    <dxf>
      <numFmt numFmtId="164" formatCode="0.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6059.81222615741" createdVersion="8" refreshedVersion="8" minRefreshableVersion="3" recordCount="32" xr:uid="{D226BD4E-806E-44F2-8891-07F6D09074CE}">
  <cacheSource type="worksheet">
    <worksheetSource name="vhodni_podatki"/>
  </cacheSource>
  <cacheFields count="6">
    <cacheField name="Vrsta" numFmtId="0">
      <sharedItems/>
    </cacheField>
    <cacheField name="Višina (bc)" numFmtId="0">
      <sharedItems containsSemiMixedTypes="0" containsString="0" containsNumber="1" containsInteger="1" minValue="35" maxValue="1039"/>
    </cacheField>
    <cacheField name="Teža (t oz)" numFmtId="0">
      <sharedItems containsSemiMixedTypes="0" containsString="0" containsNumber="1" containsInteger="1" minValue="58" maxValue="14789"/>
    </cacheField>
    <cacheField name="Tip" numFmtId="0">
      <sharedItems count="4">
        <s v="Običajen"/>
        <s v="Leteč"/>
        <s v="Ognjen"/>
        <s v="Jasnoviden"/>
      </sharedItems>
    </cacheField>
    <cacheField name="Hitrost" numFmtId="0">
      <sharedItems containsSemiMixedTypes="0" containsString="0" containsNumber="1" containsInteger="1" minValue="55" maxValue="123" count="5">
        <n v="85"/>
        <n v="123"/>
        <n v="55"/>
        <n v="100"/>
        <n v="110"/>
      </sharedItems>
    </cacheField>
    <cacheField name="Gostota" numFmtId="0">
      <sharedItems containsSemiMixedTypes="0" containsString="0" containsNumber="1" minValue="0.60198516787895695" maxValue="487.46355685131198" count="32">
        <n v="38.825646613161894"/>
        <n v="24.459353195798986"/>
        <n v="76.275945695997052"/>
        <n v="35.834786119894325"/>
        <n v="140.71545776345195"/>
        <n v="40.718270890998419"/>
        <n v="46.83659535730542"/>
        <n v="135.27696793002914"/>
        <n v="22.902554320079968"/>
        <n v="185.89329917263035"/>
        <n v="57.698206729996741"/>
        <n v="44.366530316943539"/>
        <n v="35.211036223011263"/>
        <n v="29.130632680928539"/>
        <n v="26.187669310762168"/>
        <n v="187.30751136349724"/>
        <n v="130.02899164924921"/>
        <n v="61.91428604015038"/>
        <n v="214.70907421320643"/>
        <n v="37.608053886651987"/>
        <n v="117.40489533983514"/>
        <n v="23.479626554916628"/>
        <n v="0.60198516787895695"/>
        <n v="34.325602450801746"/>
        <n v="1.6678262639928747"/>
        <n v="300.8746355685131"/>
        <n v="487.46355685131198"/>
        <n v="56.724397333709874"/>
        <n v="94.873005018155894"/>
        <n v="67.505390355797061"/>
        <n v="96.958026333456417"/>
        <n v="38.4160218479745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Bulbasaur"/>
    <n v="83"/>
    <n v="222"/>
    <x v="0"/>
    <x v="0"/>
    <x v="0"/>
  </r>
  <r>
    <s v="Venusaur"/>
    <n v="236"/>
    <n v="3215"/>
    <x v="1"/>
    <x v="1"/>
    <x v="1"/>
  </r>
  <r>
    <s v="Charmander"/>
    <n v="71"/>
    <n v="273"/>
    <x v="0"/>
    <x v="0"/>
    <x v="2"/>
  </r>
  <r>
    <s v="Charizard"/>
    <n v="201"/>
    <n v="2910"/>
    <x v="0"/>
    <x v="0"/>
    <x v="3"/>
  </r>
  <r>
    <s v="Squirtle"/>
    <n v="59"/>
    <n v="289"/>
    <x v="1"/>
    <x v="1"/>
    <x v="4"/>
  </r>
  <r>
    <s v="Blastoise"/>
    <n v="189"/>
    <n v="2749"/>
    <x v="0"/>
    <x v="0"/>
    <x v="5"/>
  </r>
  <r>
    <s v="Butterfree"/>
    <n v="130"/>
    <n v="1029"/>
    <x v="0"/>
    <x v="0"/>
    <x v="6"/>
  </r>
  <r>
    <s v="Pidgey"/>
    <n v="35"/>
    <n v="58"/>
    <x v="0"/>
    <x v="2"/>
    <x v="7"/>
  </r>
  <r>
    <s v="Pidgeot"/>
    <n v="177"/>
    <n v="1270"/>
    <x v="0"/>
    <x v="2"/>
    <x v="8"/>
  </r>
  <r>
    <s v="Pikachu"/>
    <n v="47"/>
    <n v="193"/>
    <x v="0"/>
    <x v="2"/>
    <x v="9"/>
  </r>
  <r>
    <s v="Sandslash"/>
    <n v="118"/>
    <n v="948"/>
    <x v="2"/>
    <x v="3"/>
    <x v="10"/>
  </r>
  <r>
    <s v="Nidoking"/>
    <n v="165"/>
    <n v="1993"/>
    <x v="0"/>
    <x v="2"/>
    <x v="11"/>
  </r>
  <r>
    <s v="Clefable"/>
    <n v="154"/>
    <n v="1286"/>
    <x v="0"/>
    <x v="0"/>
    <x v="12"/>
  </r>
  <r>
    <s v="Ninetales"/>
    <n v="130"/>
    <n v="640"/>
    <x v="0"/>
    <x v="2"/>
    <x v="13"/>
  </r>
  <r>
    <s v="Golbat"/>
    <n v="189"/>
    <n v="1768"/>
    <x v="3"/>
    <x v="4"/>
    <x v="14"/>
  </r>
  <r>
    <s v="Dugtrio"/>
    <n v="83"/>
    <n v="1071"/>
    <x v="0"/>
    <x v="0"/>
    <x v="15"/>
  </r>
  <r>
    <s v="Meowth"/>
    <n v="47"/>
    <n v="135"/>
    <x v="0"/>
    <x v="2"/>
    <x v="16"/>
  </r>
  <r>
    <s v="Machamp"/>
    <n v="189"/>
    <n v="4180"/>
    <x v="0"/>
    <x v="2"/>
    <x v="17"/>
  </r>
  <r>
    <s v="Golem"/>
    <n v="165"/>
    <n v="9645"/>
    <x v="3"/>
    <x v="4"/>
    <x v="18"/>
  </r>
  <r>
    <s v="Rapidash"/>
    <n v="201"/>
    <n v="3054"/>
    <x v="2"/>
    <x v="3"/>
    <x v="19"/>
  </r>
  <r>
    <s v="Magneton"/>
    <n v="118"/>
    <n v="1929"/>
    <x v="0"/>
    <x v="2"/>
    <x v="20"/>
  </r>
  <r>
    <s v="Gengar"/>
    <n v="177"/>
    <n v="1302"/>
    <x v="3"/>
    <x v="4"/>
    <x v="21"/>
  </r>
  <r>
    <s v="Onix"/>
    <n v="1039"/>
    <n v="6752"/>
    <x v="0"/>
    <x v="2"/>
    <x v="22"/>
  </r>
  <r>
    <s v="Rhydon"/>
    <n v="224"/>
    <n v="3858"/>
    <x v="2"/>
    <x v="3"/>
    <x v="23"/>
  </r>
  <r>
    <s v="Gyarados"/>
    <n v="768"/>
    <n v="7555"/>
    <x v="3"/>
    <x v="4"/>
    <x v="24"/>
  </r>
  <r>
    <s v="Ditto"/>
    <n v="35"/>
    <n v="129"/>
    <x v="0"/>
    <x v="0"/>
    <x v="25"/>
  </r>
  <r>
    <s v="Eevee"/>
    <n v="35"/>
    <n v="209"/>
    <x v="0"/>
    <x v="0"/>
    <x v="26"/>
  </r>
  <r>
    <s v="Vaporeon"/>
    <n v="118"/>
    <n v="932"/>
    <x v="1"/>
    <x v="1"/>
    <x v="27"/>
  </r>
  <r>
    <s v="Jolteon"/>
    <n v="94"/>
    <n v="788"/>
    <x v="3"/>
    <x v="4"/>
    <x v="28"/>
  </r>
  <r>
    <s v="Flareon"/>
    <n v="106"/>
    <n v="804"/>
    <x v="3"/>
    <x v="4"/>
    <x v="29"/>
  </r>
  <r>
    <s v="Snorlax"/>
    <n v="248"/>
    <n v="14789"/>
    <x v="1"/>
    <x v="1"/>
    <x v="30"/>
  </r>
  <r>
    <s v="Dragonite"/>
    <n v="260"/>
    <n v="6752"/>
    <x v="0"/>
    <x v="0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4E615-82E6-476B-8D10-EE5DA53EB977}" name="Vrtilna tabela1" cacheId="5" applyNumberFormats="0" applyBorderFormats="0" applyFontFormats="0" applyPatternFormats="0" applyAlignmentFormats="0" applyWidthHeightFormats="1" dataCaption="Vrednosti" updatedVersion="8" minRefreshableVersion="3" useAutoFormatting="1" rowGrandTotals="0" itemPrintTitles="1" createdVersion="8" indent="0" outline="1" outlineData="1" multipleFieldFilters="0">
  <location ref="K5:M9" firstHeaderRow="0" firstDataRow="1" firstDataCol="1"/>
  <pivotFields count="6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dataField="1" showAll="0" maxSubtotal="1">
      <items count="6">
        <item x="2"/>
        <item x="0"/>
        <item x="3"/>
        <item x="4"/>
        <item x="1"/>
        <item t="max"/>
      </items>
    </pivotField>
    <pivotField dataField="1" showAll="0" avgSubtotal="1">
      <items count="33">
        <item x="22"/>
        <item x="24"/>
        <item x="8"/>
        <item x="21"/>
        <item x="1"/>
        <item x="14"/>
        <item x="13"/>
        <item x="23"/>
        <item x="12"/>
        <item x="3"/>
        <item x="19"/>
        <item x="31"/>
        <item x="0"/>
        <item x="5"/>
        <item x="11"/>
        <item x="6"/>
        <item x="27"/>
        <item x="10"/>
        <item x="17"/>
        <item x="29"/>
        <item x="2"/>
        <item x="28"/>
        <item x="30"/>
        <item x="20"/>
        <item x="16"/>
        <item x="7"/>
        <item x="4"/>
        <item x="9"/>
        <item x="15"/>
        <item x="18"/>
        <item x="25"/>
        <item x="26"/>
        <item t="avg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Maks od Hitrost" fld="4" subtotal="max" baseField="3" baseItem="0" numFmtId="164"/>
    <dataField name="Povprečje od Gostota" fld="5" subtotal="average" baseField="3" baseItem="0" numFmtId="164"/>
  </dataFields>
  <formats count="2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5F6BCE-43E8-4BE9-86AD-3D432087366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Vrsta" tableColumnId="1"/>
      <queryTableField id="2" name="Višina (bc)" tableColumnId="2"/>
      <queryTableField id="3" name="Teža (t oz)" tableColumnId="3"/>
      <queryTableField id="4" name="Tip" tableColumnId="4"/>
      <queryTableField id="5" name="Hitrost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703A6-27D7-4D72-9298-DF3BBE58805E}" name="vhodni_podatki" displayName="vhodni_podatki" ref="A1:F33" tableType="queryTable" totalsRowShown="0">
  <autoFilter ref="A1:F33" xr:uid="{13C703A6-27D7-4D72-9298-DF3BBE58805E}"/>
  <tableColumns count="6">
    <tableColumn id="1" xr3:uid="{CFD9B2AB-B73F-438B-9886-F437A36D2FF5}" uniqueName="1" name="Vrsta" queryTableFieldId="1" dataDxfId="23"/>
    <tableColumn id="2" xr3:uid="{2FB82077-2A73-41CE-B192-0C8B84B5A558}" uniqueName="2" name="Višina (bc)" queryTableFieldId="2"/>
    <tableColumn id="3" xr3:uid="{9A99AB64-AF76-46B3-9C4A-A158AE356072}" uniqueName="3" name="Teža (t oz)" queryTableFieldId="3"/>
    <tableColumn id="4" xr3:uid="{4664E6B5-509F-49A8-B0DB-A6439EBF43F3}" uniqueName="4" name="Tip" queryTableFieldId="4" dataDxfId="22"/>
    <tableColumn id="5" xr3:uid="{50AA1DF5-1EE2-44A5-BFE8-C66975A90B70}" uniqueName="5" name="Hitrost" queryTableFieldId="5"/>
    <tableColumn id="6" xr3:uid="{600645AA-2146-4358-A1D9-B472A9A53E01}" uniqueName="6" name="Gostota" queryTableFieldId="6" dataDxfId="21">
      <calculatedColumnFormula>10^5*vhodni_podatki[[#This Row],[Teža (t oz)]]/vhodni_podatki[[#This Row],[Višina (bc)]]^3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6A7-ECE8-4B58-B858-A2D1B573F9A7}">
  <dimension ref="A1:M33"/>
  <sheetViews>
    <sheetView tabSelected="1" workbookViewId="0">
      <selection activeCell="K12" sqref="K12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12.28515625" bestFit="1" customWidth="1"/>
    <col min="4" max="4" width="10.85546875" bestFit="1" customWidth="1"/>
    <col min="5" max="5" width="9.5703125" bestFit="1" customWidth="1"/>
    <col min="6" max="6" width="10.5703125" bestFit="1" customWidth="1"/>
    <col min="11" max="11" width="15.42578125" bestFit="1" customWidth="1"/>
    <col min="12" max="12" width="15.140625" bestFit="1" customWidth="1"/>
    <col min="13" max="13" width="20.5703125" bestFit="1" customWidth="1"/>
    <col min="14" max="16" width="4" bestFit="1" customWidth="1"/>
    <col min="17" max="17" width="12.85546875" bestFit="1" customWidth="1"/>
    <col min="18" max="18" width="11" bestFit="1" customWidth="1"/>
    <col min="19" max="19" width="9" bestFit="1" customWidth="1"/>
    <col min="20" max="20" width="6" bestFit="1" customWidth="1"/>
    <col min="21" max="21" width="9" bestFit="1" customWidth="1"/>
    <col min="22" max="23" width="12.85546875" bestFit="1" customWidth="1"/>
    <col min="24" max="24" width="9" bestFit="1" customWidth="1"/>
    <col min="25" max="25" width="25.5703125" bestFit="1" customWidth="1"/>
    <col min="26" max="26" width="13.85546875" bestFit="1" customWidth="1"/>
    <col min="27" max="27" width="9" bestFit="1" customWidth="1"/>
    <col min="28" max="28" width="26.5703125" bestFit="1" customWidth="1"/>
    <col min="29" max="29" width="13.85546875" bestFit="1" customWidth="1"/>
    <col min="30" max="30" width="8" bestFit="1" customWidth="1"/>
    <col min="31" max="31" width="26.5703125" bestFit="1" customWidth="1"/>
    <col min="32" max="32" width="13.85546875" bestFit="1" customWidth="1"/>
    <col min="33" max="33" width="9" bestFit="1" customWidth="1"/>
    <col min="34" max="34" width="26.5703125" bestFit="1" customWidth="1"/>
    <col min="35" max="35" width="13.85546875" bestFit="1" customWidth="1"/>
    <col min="36" max="36" width="8" bestFit="1" customWidth="1"/>
    <col min="37" max="37" width="26.5703125" bestFit="1" customWidth="1"/>
    <col min="38" max="38" width="13.85546875" bestFit="1" customWidth="1"/>
    <col min="39" max="39" width="8" bestFit="1" customWidth="1"/>
    <col min="40" max="40" width="26.5703125" bestFit="1" customWidth="1"/>
    <col min="41" max="41" width="13.85546875" bestFit="1" customWidth="1"/>
    <col min="42" max="42" width="9" bestFit="1" customWidth="1"/>
    <col min="43" max="43" width="25.5703125" bestFit="1" customWidth="1"/>
    <col min="44" max="44" width="13.85546875" bestFit="1" customWidth="1"/>
    <col min="45" max="45" width="8" bestFit="1" customWidth="1"/>
    <col min="46" max="46" width="26.5703125" bestFit="1" customWidth="1"/>
    <col min="47" max="47" width="13.85546875" bestFit="1" customWidth="1"/>
    <col min="48" max="48" width="8" bestFit="1" customWidth="1"/>
    <col min="49" max="49" width="26.5703125" bestFit="1" customWidth="1"/>
    <col min="50" max="50" width="13.85546875" bestFit="1" customWidth="1"/>
    <col min="51" max="51" width="8" bestFit="1" customWidth="1"/>
    <col min="52" max="52" width="26.5703125" bestFit="1" customWidth="1"/>
    <col min="53" max="53" width="13.85546875" bestFit="1" customWidth="1"/>
    <col min="54" max="54" width="8" bestFit="1" customWidth="1"/>
    <col min="55" max="55" width="26.5703125" bestFit="1" customWidth="1"/>
    <col min="56" max="56" width="13.85546875" bestFit="1" customWidth="1"/>
    <col min="57" max="57" width="8" bestFit="1" customWidth="1"/>
    <col min="58" max="58" width="26.5703125" bestFit="1" customWidth="1"/>
    <col min="59" max="59" width="13.85546875" bestFit="1" customWidth="1"/>
    <col min="60" max="60" width="9" bestFit="1" customWidth="1"/>
    <col min="61" max="61" width="26.5703125" bestFit="1" customWidth="1"/>
    <col min="62" max="62" width="13.85546875" bestFit="1" customWidth="1"/>
    <col min="63" max="63" width="9" bestFit="1" customWidth="1"/>
    <col min="64" max="64" width="26.5703125" bestFit="1" customWidth="1"/>
    <col min="65" max="65" width="13.85546875" bestFit="1" customWidth="1"/>
    <col min="66" max="66" width="8" bestFit="1" customWidth="1"/>
    <col min="67" max="67" width="26.5703125" bestFit="1" customWidth="1"/>
    <col min="68" max="68" width="13.85546875" bestFit="1" customWidth="1"/>
    <col min="69" max="69" width="9" bestFit="1" customWidth="1"/>
    <col min="70" max="70" width="26.5703125" bestFit="1" customWidth="1"/>
    <col min="71" max="71" width="12.85546875" bestFit="1" customWidth="1"/>
    <col min="72" max="72" width="8" bestFit="1" customWidth="1"/>
    <col min="73" max="73" width="26.5703125" bestFit="1" customWidth="1"/>
    <col min="74" max="74" width="13.85546875" bestFit="1" customWidth="1"/>
    <col min="75" max="75" width="9" bestFit="1" customWidth="1"/>
    <col min="76" max="76" width="26.5703125" bestFit="1" customWidth="1"/>
    <col min="77" max="77" width="13.85546875" bestFit="1" customWidth="1"/>
    <col min="78" max="78" width="9" bestFit="1" customWidth="1"/>
    <col min="79" max="79" width="26.5703125" bestFit="1" customWidth="1"/>
    <col min="80" max="80" width="13.85546875" bestFit="1" customWidth="1"/>
    <col min="81" max="81" width="8" bestFit="1" customWidth="1"/>
    <col min="82" max="82" width="26.5703125" bestFit="1" customWidth="1"/>
    <col min="83" max="83" width="13.85546875" bestFit="1" customWidth="1"/>
    <col min="84" max="84" width="8" bestFit="1" customWidth="1"/>
    <col min="85" max="85" width="26.5703125" bestFit="1" customWidth="1"/>
    <col min="86" max="86" width="13.85546875" bestFit="1" customWidth="1"/>
    <col min="87" max="87" width="8" bestFit="1" customWidth="1"/>
    <col min="88" max="88" width="26.5703125" bestFit="1" customWidth="1"/>
    <col min="89" max="89" width="13.85546875" bestFit="1" customWidth="1"/>
    <col min="90" max="90" width="9" bestFit="1" customWidth="1"/>
    <col min="91" max="91" width="26.5703125" bestFit="1" customWidth="1"/>
    <col min="92" max="92" width="13.85546875" bestFit="1" customWidth="1"/>
    <col min="93" max="93" width="8" bestFit="1" customWidth="1"/>
    <col min="94" max="94" width="25.5703125" bestFit="1" customWidth="1"/>
    <col min="95" max="95" width="13.85546875" bestFit="1" customWidth="1"/>
    <col min="96" max="96" width="8" bestFit="1" customWidth="1"/>
    <col min="97" max="97" width="26.5703125" bestFit="1" customWidth="1"/>
    <col min="98" max="98" width="13.85546875" bestFit="1" customWidth="1"/>
    <col min="99" max="99" width="9" bestFit="1" customWidth="1"/>
    <col min="100" max="100" width="26.5703125" bestFit="1" customWidth="1"/>
    <col min="101" max="101" width="13.85546875" bestFit="1" customWidth="1"/>
    <col min="102" max="102" width="8" bestFit="1" customWidth="1"/>
    <col min="103" max="103" width="26.5703125" bestFit="1" customWidth="1"/>
    <col min="104" max="104" width="13.85546875" bestFit="1" customWidth="1"/>
    <col min="105" max="105" width="8" bestFit="1" customWidth="1"/>
    <col min="106" max="106" width="26.5703125" bestFit="1" customWidth="1"/>
    <col min="107" max="107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</row>
    <row r="2" spans="1:13" x14ac:dyDescent="0.25">
      <c r="A2" s="1" t="s">
        <v>5</v>
      </c>
      <c r="B2">
        <v>83</v>
      </c>
      <c r="C2">
        <v>222</v>
      </c>
      <c r="D2" s="1" t="s">
        <v>6</v>
      </c>
      <c r="E2">
        <v>85</v>
      </c>
      <c r="F2" s="2">
        <f>10^5*vhodni_podatki[[#This Row],[Teža (t oz)]]/vhodni_podatki[[#This Row],[Višina (bc)]]^3</f>
        <v>38.825646613161894</v>
      </c>
    </row>
    <row r="3" spans="1:13" x14ac:dyDescent="0.25">
      <c r="A3" s="1" t="s">
        <v>7</v>
      </c>
      <c r="B3">
        <v>236</v>
      </c>
      <c r="C3">
        <v>3215</v>
      </c>
      <c r="D3" s="1" t="s">
        <v>8</v>
      </c>
      <c r="E3">
        <v>123</v>
      </c>
      <c r="F3" s="2">
        <f>10^5*vhodni_podatki[[#This Row],[Teža (t oz)]]/vhodni_podatki[[#This Row],[Višina (bc)]]^3</f>
        <v>24.459353195798986</v>
      </c>
    </row>
    <row r="4" spans="1:13" x14ac:dyDescent="0.25">
      <c r="A4" s="1" t="s">
        <v>9</v>
      </c>
      <c r="B4">
        <v>71</v>
      </c>
      <c r="C4">
        <v>273</v>
      </c>
      <c r="D4" s="1" t="s">
        <v>6</v>
      </c>
      <c r="E4">
        <v>85</v>
      </c>
      <c r="F4" s="2">
        <f>10^5*vhodni_podatki[[#This Row],[Teža (t oz)]]/vhodni_podatki[[#This Row],[Višina (bc)]]^3</f>
        <v>76.275945695997052</v>
      </c>
    </row>
    <row r="5" spans="1:13" x14ac:dyDescent="0.25">
      <c r="A5" s="1" t="s">
        <v>10</v>
      </c>
      <c r="B5">
        <v>201</v>
      </c>
      <c r="C5">
        <v>2910</v>
      </c>
      <c r="D5" s="1" t="s">
        <v>6</v>
      </c>
      <c r="E5">
        <v>85</v>
      </c>
      <c r="F5" s="2">
        <f>10^5*vhodni_podatki[[#This Row],[Teža (t oz)]]/vhodni_podatki[[#This Row],[Višina (bc)]]^3</f>
        <v>35.834786119894325</v>
      </c>
      <c r="K5" s="4" t="s">
        <v>42</v>
      </c>
      <c r="L5" t="s">
        <v>43</v>
      </c>
      <c r="M5" t="s">
        <v>44</v>
      </c>
    </row>
    <row r="6" spans="1:13" x14ac:dyDescent="0.25">
      <c r="A6" s="1" t="s">
        <v>11</v>
      </c>
      <c r="B6">
        <v>59</v>
      </c>
      <c r="C6">
        <v>289</v>
      </c>
      <c r="D6" s="1" t="s">
        <v>8</v>
      </c>
      <c r="E6">
        <v>123</v>
      </c>
      <c r="F6" s="2">
        <f>10^5*vhodni_podatki[[#This Row],[Teža (t oz)]]/vhodni_podatki[[#This Row],[Višina (bc)]]^3</f>
        <v>140.71545776345195</v>
      </c>
      <c r="K6" s="5" t="s">
        <v>23</v>
      </c>
      <c r="L6" s="2">
        <v>110</v>
      </c>
      <c r="M6" s="2">
        <v>71.403765286138523</v>
      </c>
    </row>
    <row r="7" spans="1:13" x14ac:dyDescent="0.25">
      <c r="A7" s="1" t="s">
        <v>12</v>
      </c>
      <c r="B7">
        <v>189</v>
      </c>
      <c r="C7">
        <v>2749</v>
      </c>
      <c r="D7" s="1" t="s">
        <v>6</v>
      </c>
      <c r="E7">
        <v>85</v>
      </c>
      <c r="F7" s="2">
        <f>10^5*vhodni_podatki[[#This Row],[Teža (t oz)]]/vhodni_podatki[[#This Row],[Višina (bc)]]^3</f>
        <v>40.718270890998419</v>
      </c>
      <c r="K7" s="5" t="s">
        <v>8</v>
      </c>
      <c r="L7" s="2">
        <v>123</v>
      </c>
      <c r="M7" s="2">
        <v>79.714308656604317</v>
      </c>
    </row>
    <row r="8" spans="1:13" x14ac:dyDescent="0.25">
      <c r="A8" s="1" t="s">
        <v>13</v>
      </c>
      <c r="B8">
        <v>130</v>
      </c>
      <c r="C8">
        <v>1029</v>
      </c>
      <c r="D8" s="1" t="s">
        <v>6</v>
      </c>
      <c r="E8">
        <v>85</v>
      </c>
      <c r="F8" s="2">
        <f>10^5*vhodni_podatki[[#This Row],[Teža (t oz)]]/vhodni_podatki[[#This Row],[Višina (bc)]]^3</f>
        <v>46.83659535730542</v>
      </c>
      <c r="K8" s="5" t="s">
        <v>6</v>
      </c>
      <c r="L8" s="2">
        <v>85</v>
      </c>
      <c r="M8" s="2">
        <v>106.06758679733632</v>
      </c>
    </row>
    <row r="9" spans="1:13" x14ac:dyDescent="0.25">
      <c r="A9" s="1" t="s">
        <v>14</v>
      </c>
      <c r="B9">
        <v>35</v>
      </c>
      <c r="C9">
        <v>58</v>
      </c>
      <c r="D9" s="1" t="s">
        <v>6</v>
      </c>
      <c r="E9">
        <v>55</v>
      </c>
      <c r="F9" s="2">
        <f>10^5*vhodni_podatki[[#This Row],[Teža (t oz)]]/vhodni_podatki[[#This Row],[Višina (bc)]]^3</f>
        <v>135.27696793002914</v>
      </c>
      <c r="K9" s="5" t="s">
        <v>18</v>
      </c>
      <c r="L9" s="2">
        <v>100</v>
      </c>
      <c r="M9" s="2">
        <v>43.210621022483487</v>
      </c>
    </row>
    <row r="10" spans="1:13" x14ac:dyDescent="0.25">
      <c r="A10" s="1" t="s">
        <v>15</v>
      </c>
      <c r="B10">
        <v>177</v>
      </c>
      <c r="C10">
        <v>1270</v>
      </c>
      <c r="D10" s="1" t="s">
        <v>6</v>
      </c>
      <c r="E10">
        <v>55</v>
      </c>
      <c r="F10" s="2">
        <f>10^5*vhodni_podatki[[#This Row],[Teža (t oz)]]/vhodni_podatki[[#This Row],[Višina (bc)]]^3</f>
        <v>22.902554320079968</v>
      </c>
      <c r="L10" s="2"/>
    </row>
    <row r="11" spans="1:13" x14ac:dyDescent="0.25">
      <c r="A11" s="1" t="s">
        <v>16</v>
      </c>
      <c r="B11">
        <v>47</v>
      </c>
      <c r="C11">
        <v>193</v>
      </c>
      <c r="D11" s="1" t="s">
        <v>6</v>
      </c>
      <c r="E11">
        <v>55</v>
      </c>
      <c r="F11" s="2">
        <f>10^5*vhodni_podatki[[#This Row],[Teža (t oz)]]/vhodni_podatki[[#This Row],[Višina (bc)]]^3</f>
        <v>185.89329917263035</v>
      </c>
      <c r="K11" s="5" t="s">
        <v>45</v>
      </c>
    </row>
    <row r="12" spans="1:13" x14ac:dyDescent="0.25">
      <c r="A12" s="1" t="s">
        <v>17</v>
      </c>
      <c r="B12">
        <v>118</v>
      </c>
      <c r="C12">
        <v>948</v>
      </c>
      <c r="D12" s="1" t="s">
        <v>18</v>
      </c>
      <c r="E12">
        <v>100</v>
      </c>
      <c r="F12" s="2">
        <f>10^5*vhodni_podatki[[#This Row],[Teža (t oz)]]/vhodni_podatki[[#This Row],[Višina (bc)]]^3</f>
        <v>57.698206729996741</v>
      </c>
    </row>
    <row r="13" spans="1:13" x14ac:dyDescent="0.25">
      <c r="A13" s="1" t="s">
        <v>19</v>
      </c>
      <c r="B13">
        <v>165</v>
      </c>
      <c r="C13">
        <v>1993</v>
      </c>
      <c r="D13" s="1" t="s">
        <v>6</v>
      </c>
      <c r="E13">
        <v>55</v>
      </c>
      <c r="F13" s="2">
        <f>10^5*vhodni_podatki[[#This Row],[Teža (t oz)]]/vhodni_podatki[[#This Row],[Višina (bc)]]^3</f>
        <v>44.366530316943539</v>
      </c>
    </row>
    <row r="14" spans="1:13" x14ac:dyDescent="0.25">
      <c r="A14" s="1" t="s">
        <v>20</v>
      </c>
      <c r="B14">
        <v>154</v>
      </c>
      <c r="C14">
        <v>1286</v>
      </c>
      <c r="D14" s="1" t="s">
        <v>6</v>
      </c>
      <c r="E14">
        <v>85</v>
      </c>
      <c r="F14" s="2">
        <f>10^5*vhodni_podatki[[#This Row],[Teža (t oz)]]/vhodni_podatki[[#This Row],[Višina (bc)]]^3</f>
        <v>35.211036223011263</v>
      </c>
    </row>
    <row r="15" spans="1:13" x14ac:dyDescent="0.25">
      <c r="A15" s="1" t="s">
        <v>21</v>
      </c>
      <c r="B15">
        <v>130</v>
      </c>
      <c r="C15">
        <v>640</v>
      </c>
      <c r="D15" s="1" t="s">
        <v>6</v>
      </c>
      <c r="E15">
        <v>55</v>
      </c>
      <c r="F15" s="2">
        <f>10^5*vhodni_podatki[[#This Row],[Teža (t oz)]]/vhodni_podatki[[#This Row],[Višina (bc)]]^3</f>
        <v>29.130632680928539</v>
      </c>
    </row>
    <row r="16" spans="1:13" x14ac:dyDescent="0.25">
      <c r="A16" s="1" t="s">
        <v>22</v>
      </c>
      <c r="B16">
        <v>189</v>
      </c>
      <c r="C16">
        <v>1768</v>
      </c>
      <c r="D16" s="1" t="s">
        <v>23</v>
      </c>
      <c r="E16">
        <v>110</v>
      </c>
      <c r="F16" s="2">
        <f>10^5*vhodni_podatki[[#This Row],[Teža (t oz)]]/vhodni_podatki[[#This Row],[Višina (bc)]]^3</f>
        <v>26.187669310762168</v>
      </c>
    </row>
    <row r="17" spans="1:6" x14ac:dyDescent="0.25">
      <c r="A17" s="1" t="s">
        <v>24</v>
      </c>
      <c r="B17">
        <v>83</v>
      </c>
      <c r="C17">
        <v>1071</v>
      </c>
      <c r="D17" s="1" t="s">
        <v>6</v>
      </c>
      <c r="E17">
        <v>85</v>
      </c>
      <c r="F17" s="2">
        <f>10^5*vhodni_podatki[[#This Row],[Teža (t oz)]]/vhodni_podatki[[#This Row],[Višina (bc)]]^3</f>
        <v>187.30751136349724</v>
      </c>
    </row>
    <row r="18" spans="1:6" x14ac:dyDescent="0.25">
      <c r="A18" s="1" t="s">
        <v>25</v>
      </c>
      <c r="B18">
        <v>47</v>
      </c>
      <c r="C18">
        <v>135</v>
      </c>
      <c r="D18" s="1" t="s">
        <v>6</v>
      </c>
      <c r="E18">
        <v>55</v>
      </c>
      <c r="F18" s="2">
        <f>10^5*vhodni_podatki[[#This Row],[Teža (t oz)]]/vhodni_podatki[[#This Row],[Višina (bc)]]^3</f>
        <v>130.02899164924921</v>
      </c>
    </row>
    <row r="19" spans="1:6" x14ac:dyDescent="0.25">
      <c r="A19" s="1" t="s">
        <v>26</v>
      </c>
      <c r="B19">
        <v>189</v>
      </c>
      <c r="C19">
        <v>4180</v>
      </c>
      <c r="D19" s="1" t="s">
        <v>6</v>
      </c>
      <c r="E19">
        <v>55</v>
      </c>
      <c r="F19" s="2">
        <f>10^5*vhodni_podatki[[#This Row],[Teža (t oz)]]/vhodni_podatki[[#This Row],[Višina (bc)]]^3</f>
        <v>61.91428604015038</v>
      </c>
    </row>
    <row r="20" spans="1:6" x14ac:dyDescent="0.25">
      <c r="A20" s="1" t="s">
        <v>27</v>
      </c>
      <c r="B20">
        <v>165</v>
      </c>
      <c r="C20">
        <v>9645</v>
      </c>
      <c r="D20" s="1" t="s">
        <v>23</v>
      </c>
      <c r="E20">
        <v>110</v>
      </c>
      <c r="F20" s="2">
        <f>10^5*vhodni_podatki[[#This Row],[Teža (t oz)]]/vhodni_podatki[[#This Row],[Višina (bc)]]^3</f>
        <v>214.70907421320643</v>
      </c>
    </row>
    <row r="21" spans="1:6" x14ac:dyDescent="0.25">
      <c r="A21" s="1" t="s">
        <v>28</v>
      </c>
      <c r="B21">
        <v>201</v>
      </c>
      <c r="C21">
        <v>3054</v>
      </c>
      <c r="D21" s="1" t="s">
        <v>18</v>
      </c>
      <c r="E21">
        <v>100</v>
      </c>
      <c r="F21" s="2">
        <f>10^5*vhodni_podatki[[#This Row],[Teža (t oz)]]/vhodni_podatki[[#This Row],[Višina (bc)]]^3</f>
        <v>37.608053886651987</v>
      </c>
    </row>
    <row r="22" spans="1:6" x14ac:dyDescent="0.25">
      <c r="A22" s="1" t="s">
        <v>29</v>
      </c>
      <c r="B22">
        <v>118</v>
      </c>
      <c r="C22">
        <v>1929</v>
      </c>
      <c r="D22" s="1" t="s">
        <v>6</v>
      </c>
      <c r="E22">
        <v>55</v>
      </c>
      <c r="F22" s="2">
        <f>10^5*vhodni_podatki[[#This Row],[Teža (t oz)]]/vhodni_podatki[[#This Row],[Višina (bc)]]^3</f>
        <v>117.40489533983514</v>
      </c>
    </row>
    <row r="23" spans="1:6" x14ac:dyDescent="0.25">
      <c r="A23" s="1" t="s">
        <v>30</v>
      </c>
      <c r="B23">
        <v>177</v>
      </c>
      <c r="C23">
        <v>1302</v>
      </c>
      <c r="D23" s="1" t="s">
        <v>23</v>
      </c>
      <c r="E23">
        <v>110</v>
      </c>
      <c r="F23" s="2">
        <f>10^5*vhodni_podatki[[#This Row],[Teža (t oz)]]/vhodni_podatki[[#This Row],[Višina (bc)]]^3</f>
        <v>23.479626554916628</v>
      </c>
    </row>
    <row r="24" spans="1:6" x14ac:dyDescent="0.25">
      <c r="A24" s="1" t="s">
        <v>31</v>
      </c>
      <c r="B24">
        <v>1039</v>
      </c>
      <c r="C24">
        <v>6752</v>
      </c>
      <c r="D24" s="1" t="s">
        <v>6</v>
      </c>
      <c r="E24">
        <v>55</v>
      </c>
      <c r="F24" s="2">
        <f>10^5*vhodni_podatki[[#This Row],[Teža (t oz)]]/vhodni_podatki[[#This Row],[Višina (bc)]]^3</f>
        <v>0.60198516787895695</v>
      </c>
    </row>
    <row r="25" spans="1:6" x14ac:dyDescent="0.25">
      <c r="A25" s="1" t="s">
        <v>32</v>
      </c>
      <c r="B25">
        <v>224</v>
      </c>
      <c r="C25">
        <v>3858</v>
      </c>
      <c r="D25" s="1" t="s">
        <v>18</v>
      </c>
      <c r="E25">
        <v>100</v>
      </c>
      <c r="F25" s="2">
        <f>10^5*vhodni_podatki[[#This Row],[Teža (t oz)]]/vhodni_podatki[[#This Row],[Višina (bc)]]^3</f>
        <v>34.325602450801746</v>
      </c>
    </row>
    <row r="26" spans="1:6" x14ac:dyDescent="0.25">
      <c r="A26" s="1" t="s">
        <v>33</v>
      </c>
      <c r="B26">
        <v>768</v>
      </c>
      <c r="C26">
        <v>7555</v>
      </c>
      <c r="D26" s="1" t="s">
        <v>23</v>
      </c>
      <c r="E26">
        <v>110</v>
      </c>
      <c r="F26" s="2">
        <f>10^5*vhodni_podatki[[#This Row],[Teža (t oz)]]/vhodni_podatki[[#This Row],[Višina (bc)]]^3</f>
        <v>1.6678262639928747</v>
      </c>
    </row>
    <row r="27" spans="1:6" x14ac:dyDescent="0.25">
      <c r="A27" s="1" t="s">
        <v>34</v>
      </c>
      <c r="B27">
        <v>35</v>
      </c>
      <c r="C27">
        <v>129</v>
      </c>
      <c r="D27" s="1" t="s">
        <v>6</v>
      </c>
      <c r="E27">
        <v>85</v>
      </c>
      <c r="F27" s="2">
        <f>10^5*vhodni_podatki[[#This Row],[Teža (t oz)]]/vhodni_podatki[[#This Row],[Višina (bc)]]^3</f>
        <v>300.8746355685131</v>
      </c>
    </row>
    <row r="28" spans="1:6" x14ac:dyDescent="0.25">
      <c r="A28" s="1" t="s">
        <v>35</v>
      </c>
      <c r="B28">
        <v>35</v>
      </c>
      <c r="C28">
        <v>209</v>
      </c>
      <c r="D28" s="1" t="s">
        <v>6</v>
      </c>
      <c r="E28">
        <v>85</v>
      </c>
      <c r="F28" s="2">
        <f>10^5*vhodni_podatki[[#This Row],[Teža (t oz)]]/vhodni_podatki[[#This Row],[Višina (bc)]]^3</f>
        <v>487.46355685131198</v>
      </c>
    </row>
    <row r="29" spans="1:6" x14ac:dyDescent="0.25">
      <c r="A29" s="1" t="s">
        <v>36</v>
      </c>
      <c r="B29">
        <v>118</v>
      </c>
      <c r="C29">
        <v>932</v>
      </c>
      <c r="D29" s="1" t="s">
        <v>8</v>
      </c>
      <c r="E29">
        <v>123</v>
      </c>
      <c r="F29" s="2">
        <f>10^5*vhodni_podatki[[#This Row],[Teža (t oz)]]/vhodni_podatki[[#This Row],[Višina (bc)]]^3</f>
        <v>56.724397333709874</v>
      </c>
    </row>
    <row r="30" spans="1:6" x14ac:dyDescent="0.25">
      <c r="A30" s="1" t="s">
        <v>37</v>
      </c>
      <c r="B30">
        <v>94</v>
      </c>
      <c r="C30">
        <v>788</v>
      </c>
      <c r="D30" s="1" t="s">
        <v>23</v>
      </c>
      <c r="E30">
        <v>110</v>
      </c>
      <c r="F30" s="2">
        <f>10^5*vhodni_podatki[[#This Row],[Teža (t oz)]]/vhodni_podatki[[#This Row],[Višina (bc)]]^3</f>
        <v>94.873005018155894</v>
      </c>
    </row>
    <row r="31" spans="1:6" x14ac:dyDescent="0.25">
      <c r="A31" s="1" t="s">
        <v>38</v>
      </c>
      <c r="B31">
        <v>106</v>
      </c>
      <c r="C31">
        <v>804</v>
      </c>
      <c r="D31" s="1" t="s">
        <v>23</v>
      </c>
      <c r="E31">
        <v>110</v>
      </c>
      <c r="F31" s="2">
        <f>10^5*vhodni_podatki[[#This Row],[Teža (t oz)]]/vhodni_podatki[[#This Row],[Višina (bc)]]^3</f>
        <v>67.505390355797061</v>
      </c>
    </row>
    <row r="32" spans="1:6" x14ac:dyDescent="0.25">
      <c r="A32" s="1" t="s">
        <v>39</v>
      </c>
      <c r="B32">
        <v>248</v>
      </c>
      <c r="C32">
        <v>14789</v>
      </c>
      <c r="D32" s="1" t="s">
        <v>8</v>
      </c>
      <c r="E32">
        <v>123</v>
      </c>
      <c r="F32" s="3">
        <f>10^5*vhodni_podatki[[#This Row],[Teža (t oz)]]/vhodni_podatki[[#This Row],[Višina (bc)]]^3</f>
        <v>96.958026333456417</v>
      </c>
    </row>
    <row r="33" spans="1:6" x14ac:dyDescent="0.25">
      <c r="A33" s="1" t="s">
        <v>40</v>
      </c>
      <c r="B33">
        <v>260</v>
      </c>
      <c r="C33">
        <v>6752</v>
      </c>
      <c r="D33" s="1" t="s">
        <v>6</v>
      </c>
      <c r="E33">
        <v>85</v>
      </c>
      <c r="F33" s="3">
        <f>10^5*vhodni_podatki[[#This Row],[Teža (t oz)]]/vhodni_podatki[[#This Row],[Višina (bc)]]^3</f>
        <v>38.416021847974513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F94A-5BCB-4966-8006-0F9A58646F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104D84-6412-448F-B801-54E63C5BC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vhodni-podatki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Pervinšek, Taja</dc:creator>
  <cp:lastModifiedBy>Taja Pervinšek</cp:lastModifiedBy>
  <dcterms:created xsi:type="dcterms:W3CDTF">2026-02-06T18:15:46Z</dcterms:created>
  <dcterms:modified xsi:type="dcterms:W3CDTF">2026-02-07T10:49:47Z</dcterms:modified>
</cp:coreProperties>
</file>