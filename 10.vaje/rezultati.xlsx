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10.vaje/"/>
    </mc:Choice>
  </mc:AlternateContent>
  <xr:revisionPtr revIDLastSave="80" documentId="13_ncr:1_{30CFF31F-8871-2C47-ABE9-A8148D29A681}" xr6:coauthVersionLast="47" xr6:coauthVersionMax="47" xr10:uidLastSave="{A5FE733D-AD7E-4E71-A5A1-F68EDF4B5961}"/>
  <bookViews>
    <workbookView xWindow="-108" yWindow="-108" windowWidth="23256" windowHeight="12456" xr2:uid="{00000000-000D-0000-FFFF-FFFF00000000}"/>
  </bookViews>
  <sheets>
    <sheet name="Rezultati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<sst xmlns="http://schemas.openxmlformats.org/spreadsheetml/2006/main" count="104" uniqueCount="70">
  <si>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</si>
  <si>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</si>
  <si>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</si>
  <si>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</si>
  <si>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</si>
  <si>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</si>
  <si>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</si>
  <si>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</si>
  <si>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</si>
  <si>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</si>
  <si>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</si>
  <si>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</si>
  <si>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</si>
  <si>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</si>
  <si>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</si>
  <si>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</si>
  <si>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</si>
  <si>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</si>
  <si>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</si>
  <si>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</si>
  <si>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</si>
  <si>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</si>
  <si>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</si>
  <si>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</si>
  <si>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</si>
  <si>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</si>
  <si>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</si>
  <si>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</si>
  <si>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</si>
  <si>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</si>
  <si>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</si>
  <si>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</si>
  <si>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</si>
  <si>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</si>
  <si>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</si>
  <si>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</si>
  <si>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</si>
  <si>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</si>
  <si>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</si>
  <si>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</si>
  <si>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</si>
  <si>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</si>
  <si>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</si>
  <si>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</si>
  <si>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</si>
  <si>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</si>
  <si>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</si>
  <si>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</si>
  <si>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</si>
  <si>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</si>
  <si>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</si>
  <si>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</si>
  <si>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</si>
  <si>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</si>
  <si>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</si>
  <si>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</si>
  <si>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</si>
  <si>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</si>
  <si>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</si>
  <si>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</si>
  <si>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</si>
  <si>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</si>
  <si>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</si>
  <si>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</si>
  <si>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</si>
  <si>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</si>
  <si>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skupina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</si>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</sst>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6">
    <dxf>
      <font>
        <color rgb="FFFF0000"/>
      </font>
      <fill>
        <patternFill>
          <bgColor theme="5" tint="0.39994506668294322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Velikosti</a:t>
            </a:r>
            <a:r>
              <a:rPr lang="sl-SI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33-4D5E-9CF7-8B3FDE76D304}"/>
              </c:ext>
            </c:extLst>
          </c:dPt>
          <c:dPt>
            <c:idx val="1"/>
            <c:bubble3D val="0"/>
            <c:explosion val="2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48-4879-8079-2F1F23BF7C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33-4D5E-9CF7-8B3FDE76D3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8-4879-8079-2F1F23BF7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</a:t>
            </a:r>
            <a:r>
              <a:rPr lang="sl-SI" baseline="0"/>
              <a:t> točk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D-47E5-A30B-E729B171688A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D-47E5-A30B-E729B1716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961272"/>
        <c:axId val="866963432"/>
      </c:barChart>
      <c:catAx>
        <c:axId val="866961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866963432"/>
        <c:crosses val="autoZero"/>
        <c:auto val="1"/>
        <c:lblAlgn val="ctr"/>
        <c:lblOffset val="100"/>
        <c:noMultiLvlLbl val="0"/>
      </c:catAx>
      <c:valAx>
        <c:axId val="86696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86696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10</xdr:row>
      <xdr:rowOff>179070</xdr:rowOff>
    </xdr:from>
    <xdr:to>
      <xdr:col>9</xdr:col>
      <xdr:colOff>1097280</xdr:colOff>
      <xdr:row>20</xdr:row>
      <xdr:rowOff>45720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DF811A98-2EEC-F4F8-C115-8F1DEB35A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3810</xdr:rowOff>
    </xdr:from>
    <xdr:to>
      <xdr:col>10</xdr:col>
      <xdr:colOff>662940</xdr:colOff>
      <xdr:row>33</xdr:row>
      <xdr:rowOff>129540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D72B71B9-D25A-63CB-BA52-96B7AB2CD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5999.735571874997" createdVersion="8" refreshedVersion="8" minRefreshableVersion="3" recordCount="28" xr:uid="{3CF30D90-A007-4135-A1E2-1269148E2B42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Tekavčič"/>
    <s v="Aleksander"/>
    <x v="0"/>
    <n v="34"/>
    <s v="ne"/>
  </r>
  <r>
    <s v="Karakaš"/>
    <s v="Alenka"/>
    <x v="0"/>
    <n v="94"/>
    <s v="da"/>
  </r>
  <r>
    <s v="Furlan"/>
    <s v="Aleš"/>
    <x v="1"/>
    <n v="36"/>
    <s v="ne"/>
  </r>
  <r>
    <s v="Kofol"/>
    <s v="Andraž"/>
    <x v="2"/>
    <n v="34"/>
    <s v="ne"/>
  </r>
  <r>
    <s v="Smrekar"/>
    <s v="Andreja"/>
    <x v="0"/>
    <n v="38"/>
    <s v="ne"/>
  </r>
  <r>
    <s v="Kumar"/>
    <s v="Barbara"/>
    <x v="1"/>
    <n v="67"/>
    <s v="da"/>
  </r>
  <r>
    <s v="Kržišnik"/>
    <s v="Grega"/>
    <x v="1"/>
    <n v="90"/>
    <s v="da"/>
  </r>
  <r>
    <s v="Štemberger"/>
    <s v="Igor"/>
    <x v="1"/>
    <n v="85"/>
    <s v="da"/>
  </r>
  <r>
    <s v="Karničar"/>
    <s v="Jaka"/>
    <x v="2"/>
    <n v="26"/>
    <s v="ne"/>
  </r>
  <r>
    <s v="Cvelbar"/>
    <s v="Janja"/>
    <x v="1"/>
    <n v="39"/>
    <s v="ne"/>
  </r>
  <r>
    <s v="Žveglič"/>
    <s v="Katarina"/>
    <x v="0"/>
    <n v="46"/>
    <s v="ne"/>
  </r>
  <r>
    <s v="Jerman"/>
    <s v="Katja"/>
    <x v="1"/>
    <n v="100"/>
    <s v="da"/>
  </r>
  <r>
    <s v="Korošec"/>
    <s v="Kristina"/>
    <x v="1"/>
    <n v="86"/>
    <s v="da"/>
  </r>
  <r>
    <s v="Furlan"/>
    <s v="Luka"/>
    <x v="0"/>
    <n v="93"/>
    <s v="da"/>
  </r>
  <r>
    <s v="Pance"/>
    <s v="Martin"/>
    <x v="1"/>
    <n v="64"/>
    <s v="da"/>
  </r>
  <r>
    <s v="Šubašič"/>
    <s v="Matej"/>
    <x v="2"/>
    <n v="76"/>
    <s v="da"/>
  </r>
  <r>
    <s v="Logar"/>
    <s v="Mateja"/>
    <x v="0"/>
    <n v="42"/>
    <s v="ne"/>
  </r>
  <r>
    <s v="Ribnikar"/>
    <s v="Matjaž"/>
    <x v="0"/>
    <n v="43"/>
    <s v="ne"/>
  </r>
  <r>
    <s v="Tratnik"/>
    <s v="Mojca"/>
    <x v="1"/>
    <n v="79"/>
    <s v="da"/>
  </r>
  <r>
    <s v="Kočar"/>
    <s v="Petra"/>
    <x v="1"/>
    <n v="44"/>
    <s v="ne"/>
  </r>
  <r>
    <s v="Vesel"/>
    <s v="Polona"/>
    <x v="2"/>
    <n v="66"/>
    <s v="da"/>
  </r>
  <r>
    <s v="Puncer"/>
    <s v="Primož"/>
    <x v="0"/>
    <n v="57"/>
    <s v="da"/>
  </r>
  <r>
    <s v="Virant"/>
    <s v="Primož"/>
    <x v="2"/>
    <n v="58"/>
    <s v="da"/>
  </r>
  <r>
    <s v="Iskra"/>
    <s v="Sabina"/>
    <x v="0"/>
    <n v="77"/>
    <s v="da"/>
  </r>
  <r>
    <s v="Obrenović"/>
    <s v="Tatjana"/>
    <x v="2"/>
    <n v="44"/>
    <s v="ne"/>
  </r>
  <r>
    <s v="Bezek"/>
    <s v="Tomaž"/>
    <x v="1"/>
    <n v="38"/>
    <s v="ne"/>
  </r>
  <r>
    <s v="Trček"/>
    <s v="Valerija"/>
    <x v="1"/>
    <n v="70"/>
    <s v="da"/>
  </r>
  <r>
    <s v="Pleterski"/>
    <s v="Vesna"/>
    <x v="2"/>
    <n v="30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752C9-500D-4874-AE37-DE56BB5616FD}" name="Vrtilna tabela1" cacheId="2" applyNumberFormats="0" applyBorderFormats="0" applyFontFormats="0" applyPatternFormats="0" applyAlignmentFormats="0" applyWidthHeightFormats="1" dataCaption="Vrednosti" updatedVersion="8" minRefreshableVersion="3" useAutoFormatting="1" rowGrandTotals="0" itemPrintTitles="1" createdVersion="8" indent="0" outline="1" outlineData="1" multipleFieldFilters="0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3">
    <format dxfId="5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3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2">
      <calculatedColumnFormula>COUNTIF(Rezultati[Skupina],Skupine[[#This Row],[Test]])</calculatedColumnFormula>
    </tableColumn>
    <tableColumn id="3" xr3:uid="{49F9352C-9597-4E44-8122-AF1CE6CE856F}" name="2022" dataDxfId="1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E3" sqref="E3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14.33203125" bestFit="1" customWidth="1"/>
    <col min="9" max="9" width="15.88671875" bestFit="1" customWidth="1"/>
    <col min="10" max="10" width="17.77734375" bestFit="1" customWidth="1"/>
    <col min="11" max="11" width="13.77734375" bestFit="1" customWidth="1"/>
    <col min="12" max="12" width="12.44140625" bestFit="1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3">
      <c r="B3" t="s">
        <v>56</v>
      </c>
      <c r="C3" t="s">
        <v>57</v>
      </c>
      <c r="D3" t="s">
        <v>9</v>
      </c>
      <c r="E3">
        <v>34</v>
      </c>
      <c r="F3" t="str">
        <f>IF(Rezultati[[#This Row],[Točke]]&gt;=50,"da","ne")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3">
      <c r="B4" t="s">
        <v>10</v>
      </c>
      <c r="C4" t="s">
        <v>11</v>
      </c>
      <c r="D4" t="s">
        <v>9</v>
      </c>
      <c r="E4">
        <v>94</v>
      </c>
      <c r="F4" t="str">
        <f>IF(Rezultati[[#This Row],[Točke]]&gt;=50,"da","ne")</f>
        <v>da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3">
      <c r="B5" t="s">
        <v>7</v>
      </c>
      <c r="C5" t="s">
        <v>36</v>
      </c>
      <c r="D5" t="s">
        <v>12</v>
      </c>
      <c r="E5">
        <v>36</v>
      </c>
      <c r="F5" t="str">
        <f>IF(Rezultati[[#This Row],[Točke]]&gt;=50,"da","ne")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3">
      <c r="B6" t="s">
        <v>16</v>
      </c>
      <c r="C6" t="s">
        <v>17</v>
      </c>
      <c r="D6" t="s">
        <v>15</v>
      </c>
      <c r="E6">
        <v>34</v>
      </c>
      <c r="F6" t="str">
        <f>IF(Rezultati[[#This Row],[Točke]]&gt;=50,"da","ne")</f>
        <v>ne</v>
      </c>
    </row>
    <row r="7" spans="2:12" x14ac:dyDescent="0.3">
      <c r="B7" t="s">
        <v>60</v>
      </c>
      <c r="C7" t="s">
        <v>61</v>
      </c>
      <c r="D7" t="s">
        <v>9</v>
      </c>
      <c r="E7">
        <v>38</v>
      </c>
      <c r="F7" t="str">
        <f>IF(Rezultati[[#This Row],[Točke]]&gt;=50,"da","ne")</f>
        <v>ne</v>
      </c>
      <c r="H7" s="2" t="s">
        <v>66</v>
      </c>
      <c r="I7" t="s">
        <v>6</v>
      </c>
      <c r="J7" t="s">
        <v>67</v>
      </c>
      <c r="K7" t="s">
        <v>68</v>
      </c>
      <c r="L7" t="s">
        <v>69</v>
      </c>
    </row>
    <row r="8" spans="2:12" x14ac:dyDescent="0.3">
      <c r="B8" t="s">
        <v>18</v>
      </c>
      <c r="C8" t="s">
        <v>19</v>
      </c>
      <c r="D8" t="s">
        <v>12</v>
      </c>
      <c r="E8">
        <v>67</v>
      </c>
      <c r="F8" t="str">
        <f>IF(Rezultati[[#This Row],[Točke]]&gt;=50,"da","ne")</f>
        <v>da</v>
      </c>
      <c r="H8" s="3" t="s">
        <v>9</v>
      </c>
      <c r="I8">
        <v>9</v>
      </c>
      <c r="J8" s="1">
        <v>58.222222222222221</v>
      </c>
      <c r="K8">
        <v>94</v>
      </c>
      <c r="L8">
        <v>34</v>
      </c>
    </row>
    <row r="9" spans="2:12" x14ac:dyDescent="0.3">
      <c r="B9" t="s">
        <v>45</v>
      </c>
      <c r="C9" t="s">
        <v>46</v>
      </c>
      <c r="D9" t="s">
        <v>12</v>
      </c>
      <c r="E9">
        <v>90</v>
      </c>
      <c r="F9" t="str">
        <f>IF(Rezultati[[#This Row],[Točke]]&gt;=50,"da","ne")</f>
        <v>da</v>
      </c>
      <c r="H9" s="3" t="s">
        <v>12</v>
      </c>
      <c r="I9">
        <v>12</v>
      </c>
      <c r="J9">
        <v>66.5</v>
      </c>
      <c r="K9">
        <v>100</v>
      </c>
      <c r="L9">
        <v>36</v>
      </c>
    </row>
    <row r="10" spans="2:12" x14ac:dyDescent="0.3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Row],[Točke]]&gt;=50,"da","ne")</f>
        <v>da</v>
      </c>
      <c r="H10" s="3" t="s">
        <v>15</v>
      </c>
      <c r="I10">
        <v>7</v>
      </c>
      <c r="J10" s="1">
        <v>47.714285714285715</v>
      </c>
      <c r="K10">
        <v>76</v>
      </c>
      <c r="L10">
        <v>26</v>
      </c>
    </row>
    <row r="11" spans="2:12" x14ac:dyDescent="0.3">
      <c r="B11" t="s">
        <v>41</v>
      </c>
      <c r="C11" t="s">
        <v>42</v>
      </c>
      <c r="D11" t="s">
        <v>15</v>
      </c>
      <c r="E11">
        <v>26</v>
      </c>
      <c r="F11" t="str">
        <f>IF(Rezultati[[#This Row],[Točke]]&gt;=50,"da","ne")</f>
        <v>ne</v>
      </c>
    </row>
    <row r="12" spans="2:12" x14ac:dyDescent="0.3">
      <c r="B12" t="s">
        <v>34</v>
      </c>
      <c r="C12" t="s">
        <v>35</v>
      </c>
      <c r="D12" t="s">
        <v>12</v>
      </c>
      <c r="E12">
        <v>39</v>
      </c>
      <c r="F12" t="str">
        <f>IF(Rezultati[[#This Row],[Točke]]&gt;=50,"da","ne")</f>
        <v>ne</v>
      </c>
    </row>
    <row r="13" spans="2:12" x14ac:dyDescent="0.3">
      <c r="B13" t="s">
        <v>32</v>
      </c>
      <c r="C13" t="s">
        <v>33</v>
      </c>
      <c r="D13" t="s">
        <v>9</v>
      </c>
      <c r="E13">
        <v>46</v>
      </c>
      <c r="F13" t="str">
        <f>IF(Rezultati[[#This Row],[Točke]]&gt;=50,"da","ne")</f>
        <v>ne</v>
      </c>
    </row>
    <row r="14" spans="2:12" x14ac:dyDescent="0.3">
      <c r="B14" t="s">
        <v>39</v>
      </c>
      <c r="C14" t="s">
        <v>40</v>
      </c>
      <c r="D14" t="s">
        <v>12</v>
      </c>
      <c r="E14">
        <v>100</v>
      </c>
      <c r="F14" t="str">
        <f>IF(Rezultati[[#This Row],[Točke]]&gt;=50,"da","ne")</f>
        <v>da</v>
      </c>
    </row>
    <row r="15" spans="2:12" x14ac:dyDescent="0.3">
      <c r="B15" t="s">
        <v>43</v>
      </c>
      <c r="C15" t="s">
        <v>44</v>
      </c>
      <c r="D15" t="s">
        <v>12</v>
      </c>
      <c r="E15">
        <v>86</v>
      </c>
      <c r="F15" t="str">
        <f>IF(Rezultati[[#This Row],[Točke]]&gt;=50,"da","ne")</f>
        <v>da</v>
      </c>
    </row>
    <row r="16" spans="2:12" x14ac:dyDescent="0.3">
      <c r="B16" t="s">
        <v>7</v>
      </c>
      <c r="C16" t="s">
        <v>8</v>
      </c>
      <c r="D16" t="s">
        <v>9</v>
      </c>
      <c r="E16">
        <v>93</v>
      </c>
      <c r="F16" t="str">
        <f>IF(Rezultati[[#This Row],[Točke]]&gt;=50,"da","ne")</f>
        <v>da</v>
      </c>
    </row>
    <row r="17" spans="2:6" x14ac:dyDescent="0.3">
      <c r="B17" t="s">
        <v>22</v>
      </c>
      <c r="C17" t="s">
        <v>23</v>
      </c>
      <c r="D17" t="s">
        <v>12</v>
      </c>
      <c r="E17">
        <v>64</v>
      </c>
      <c r="F17" t="str">
        <f>IF(Rezultati[[#This Row],[Točke]]&gt;=50,"da","ne")</f>
        <v>da</v>
      </c>
    </row>
    <row r="18" spans="2:6" x14ac:dyDescent="0.3">
      <c r="B18" t="s">
        <v>54</v>
      </c>
      <c r="C18" t="s">
        <v>55</v>
      </c>
      <c r="D18" t="s">
        <v>15</v>
      </c>
      <c r="E18">
        <v>76</v>
      </c>
      <c r="F18" t="str">
        <f>IF(Rezultati[[#This Row],[Točke]]&gt;=50,"da","ne")</f>
        <v>da</v>
      </c>
    </row>
    <row r="19" spans="2:6" x14ac:dyDescent="0.3">
      <c r="B19" t="s">
        <v>20</v>
      </c>
      <c r="C19" t="s">
        <v>21</v>
      </c>
      <c r="D19" t="s">
        <v>9</v>
      </c>
      <c r="E19">
        <v>42</v>
      </c>
      <c r="F19" t="str">
        <f>IF(Rezultati[[#This Row],[Točke]]&gt;=50,"da","ne")</f>
        <v>ne</v>
      </c>
    </row>
    <row r="20" spans="2:6" x14ac:dyDescent="0.3">
      <c r="B20" t="s">
        <v>50</v>
      </c>
      <c r="C20" t="s">
        <v>51</v>
      </c>
      <c r="D20" t="s">
        <v>9</v>
      </c>
      <c r="E20">
        <v>43</v>
      </c>
      <c r="F20" t="str">
        <f>IF(Rezultati[[#This Row],[Točke]]&gt;=50,"da","ne")</f>
        <v>ne</v>
      </c>
    </row>
    <row r="21" spans="2:6" x14ac:dyDescent="0.3">
      <c r="B21" t="s">
        <v>58</v>
      </c>
      <c r="C21" t="s">
        <v>59</v>
      </c>
      <c r="D21" t="s">
        <v>12</v>
      </c>
      <c r="E21">
        <v>79</v>
      </c>
      <c r="F21" t="str">
        <f>IF(Rezultati[[#This Row],[Točke]]&gt;=50,"da","ne")</f>
        <v>da</v>
      </c>
    </row>
    <row r="22" spans="2:6" x14ac:dyDescent="0.3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Row],[Točke]]&gt;=50,"da","ne")</f>
        <v>ne</v>
      </c>
    </row>
    <row r="23" spans="2:6" x14ac:dyDescent="0.3">
      <c r="B23" t="s">
        <v>30</v>
      </c>
      <c r="C23" t="s">
        <v>31</v>
      </c>
      <c r="D23" t="s">
        <v>15</v>
      </c>
      <c r="E23">
        <v>66</v>
      </c>
      <c r="F23" t="str">
        <f>IF(Rezultati[[#This Row],[Točke]]&gt;=50,"da","ne")</f>
        <v>da</v>
      </c>
    </row>
    <row r="24" spans="2:6" x14ac:dyDescent="0.3">
      <c r="B24" t="s">
        <v>49</v>
      </c>
      <c r="C24" t="s">
        <v>29</v>
      </c>
      <c r="D24" t="s">
        <v>9</v>
      </c>
      <c r="E24">
        <v>57</v>
      </c>
      <c r="F24" t="str">
        <f>IF(Rezultati[[#This Row],[Točke]]&gt;=50,"da","ne")</f>
        <v>da</v>
      </c>
    </row>
    <row r="25" spans="2:6" x14ac:dyDescent="0.3">
      <c r="B25" t="s">
        <v>28</v>
      </c>
      <c r="C25" t="s">
        <v>29</v>
      </c>
      <c r="D25" t="s">
        <v>15</v>
      </c>
      <c r="E25">
        <v>58</v>
      </c>
      <c r="F25" t="str">
        <f>IF(Rezultati[[#This Row],[Točke]]&gt;=50,"da","ne")</f>
        <v>da</v>
      </c>
    </row>
    <row r="26" spans="2:6" x14ac:dyDescent="0.3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Row],[Točke]]&gt;=50,"da","ne")</f>
        <v>da</v>
      </c>
    </row>
    <row r="27" spans="2:6" x14ac:dyDescent="0.3">
      <c r="B27" t="s">
        <v>47</v>
      </c>
      <c r="C27" t="s">
        <v>48</v>
      </c>
      <c r="D27" t="s">
        <v>15</v>
      </c>
      <c r="E27">
        <v>44</v>
      </c>
      <c r="F27" t="str">
        <f>IF(Rezultati[[#This Row],[Točke]]&gt;=50,"da","ne")</f>
        <v>ne</v>
      </c>
    </row>
    <row r="28" spans="2:6" x14ac:dyDescent="0.3">
      <c r="B28" t="s">
        <v>62</v>
      </c>
      <c r="C28" t="s">
        <v>63</v>
      </c>
      <c r="D28" t="s">
        <v>12</v>
      </c>
      <c r="E28">
        <v>38</v>
      </c>
      <c r="F28" t="str">
        <f>IF(Rezultati[[#This Row],[Točke]]&gt;=50,"da","ne")</f>
        <v>ne</v>
      </c>
    </row>
    <row r="29" spans="2:6" x14ac:dyDescent="0.3">
      <c r="B29" t="s">
        <v>26</v>
      </c>
      <c r="C29" t="s">
        <v>27</v>
      </c>
      <c r="D29" t="s">
        <v>12</v>
      </c>
      <c r="E29">
        <v>70</v>
      </c>
      <c r="F29" t="str">
        <f>IF(Rezultati[[#This Row],[Točke]]&gt;=50,"da","ne")</f>
        <v>da</v>
      </c>
    </row>
    <row r="30" spans="2:6" x14ac:dyDescent="0.3">
      <c r="B30" t="s">
        <v>24</v>
      </c>
      <c r="C30" t="s">
        <v>25</v>
      </c>
      <c r="D30" t="s">
        <v>15</v>
      </c>
      <c r="E30">
        <v>30</v>
      </c>
      <c r="F30" t="str">
        <f>IF(Rezultati[[#This Row],[Točke]]&gt;=50,"da","ne")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Taja Pervinšek</cp:lastModifiedBy>
  <dcterms:created xsi:type="dcterms:W3CDTF">2007-11-10T02:36:44Z</dcterms:created>
  <dcterms:modified xsi:type="dcterms:W3CDTF">2025-12-21T16:29:13Z</dcterms:modified>
</cp:coreProperties>
</file>