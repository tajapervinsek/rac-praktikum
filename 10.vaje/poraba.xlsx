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10.vaje/"/>
    </mc:Choice>
  </mc:AlternateContent>
  <xr:revisionPtr revIDLastSave="63" documentId="13_ncr:1_{DB024210-1BD4-674C-B304-48B62DBB35CD}" xr6:coauthVersionLast="47" xr6:coauthVersionMax="47" xr10:uidLastSave="{C5B14D02-597C-4ABE-B0A8-FD7ED0FF6F83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F4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<sst xmlns="http://schemas.openxmlformats.org/spreadsheetml/2006/main" count="21" uniqueCount="21">
  <si>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</si>
  <si>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</si>
  <si>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</si>
  <si>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</si>
  <si>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</si>
  <si>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</si>
  <si>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</si>
  <si>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</si>
  <si>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</si>
  <si>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</si>
  <si>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Skupna vsota</t>
  </si>
  <si>
    <t>maj</t>
  </si>
  <si>
    <t>jun</t>
  </si>
  <si>
    <t>jul</t>
  </si>
  <si>
    <t>avg</t>
  </si>
  <si>
    <t>sep</t>
  </si>
  <si>
    <t>okt</t>
  </si>
  <si>
    <t>Vsota od Prevoženo</t>
  </si>
  <si>
    <t>Povprečje od Poraba</t>
  </si>
  <si>
    <t>Vrednosti</t>
  </si>
  <si>
    <t>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</si>
</sst>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\ &quot;€/l&quot;"/>
  </numFmts>
  <fonts count="3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avadno" xfId="0" builtinId="0"/>
    <cellStyle name="Valuta" xfId="1" builtinId="4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5999.802739814812" createdVersion="8" refreshedVersion="8" minRefreshableVersion="3" recordCount="19" xr:uid="{65F613F2-2FD0-479C-B7A3-2C9EA76FDC13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44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String="0" containsBlank="1" containsNumber="1" containsInteger="1" minValue="446" maxValue="683" count="19">
        <m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 count="19">
        <s v=""/>
        <n v="7.006514657980456"/>
        <n v="6.3136363636363635"/>
        <n v="6.6097087378640778"/>
        <n v="6.8640776699029127"/>
        <n v="6.3103953147877014"/>
        <n v="6.9544626593806917"/>
        <n v="7.0103448275862057"/>
        <n v="6.9821746880570412"/>
        <n v="7.1563055062166967"/>
        <n v="6.646677471636953"/>
        <n v="6.8851851851851853"/>
        <n v="6.9331103678929766"/>
        <n v="7.5726315789473686"/>
        <n v="7.2819548872180455"/>
        <n v="8.1008968609865484"/>
        <n v="7.2251407129455911"/>
        <n v="6.4518272425249181"/>
        <n v="7.1578044596912518"/>
      </sharedItems>
    </cacheField>
    <cacheField name="Prikaz" numFmtId="0">
      <sharedItems containsString="0" containsBlank="1" containsNumber="1" minValue="6.3103953147877014" maxValue="8.1008968609865484"/>
    </cacheField>
    <cacheField name="Dnevi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eseci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35"/>
  </r>
  <r>
    <x v="3"/>
    <n v="34.04"/>
    <n v="47.043279999999996"/>
    <n v="43696"/>
    <x v="3"/>
    <x v="3"/>
    <n v="6.6097087378640778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14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57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3"/>
  </r>
  <r>
    <x v="11"/>
    <n v="37.18"/>
    <n v="56.178979999999996"/>
    <n v="48407"/>
    <x v="11"/>
    <x v="11"/>
    <n v="6.8851851851851853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81"/>
  </r>
  <r>
    <x v="18"/>
    <n v="41.73"/>
    <n v="64.097279999999998"/>
    <n v="52176"/>
    <x v="18"/>
    <x v="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15BA3-D80C-45FF-A345-C7449911A451}" name="Vrtilna tabela1" cacheId="0" dataOnRows="1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olHeaderCaption="Mesec">
  <location ref="B28:I31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44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Vsota od Prevoženo" fld="4" baseField="8" baseItem="5"/>
    <dataField name="Povprečje od Poraba" fld="5" subtotal="average" baseField="8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0"/>
    <tableColumn id="2" xr3:uid="{6DC2697C-FCB3-8A47-945B-8CD05834AA8C}" uniqueName="2" name="Litri" queryTableFieldId="2" dataDxfId="9"/>
    <tableColumn id="3" xr3:uid="{19DBC541-3ADF-4E48-8786-6E42DA219788}" uniqueName="3" name="Plačano" queryTableFieldId="3" dataCellStyle="Valuta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5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4" tableBorderDxfId="3" totalsRowBorderDxfId="2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"/>
    <tableColumn id="2" xr3:uid="{079EA12A-47EB-F54A-8E37-30D8BCE75150}" name="Benci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1"/>
  <sheetViews>
    <sheetView tabSelected="1" zoomScaleNormal="100" workbookViewId="0">
      <selection activeCell="D4" sqref="D4"/>
    </sheetView>
  </sheetViews>
  <sheetFormatPr defaultColWidth="11.5703125" defaultRowHeight="15" x14ac:dyDescent="0.25"/>
  <cols>
    <col min="1" max="1" width="3.7109375" customWidth="1"/>
    <col min="2" max="2" width="18" bestFit="1" customWidth="1"/>
    <col min="3" max="3" width="17" bestFit="1" customWidth="1"/>
    <col min="4" max="6" width="12" bestFit="1" customWidth="1"/>
    <col min="7" max="7" width="11" bestFit="1" customWidth="1"/>
    <col min="8" max="8" width="12" bestFit="1" customWidth="1"/>
    <col min="9" max="9" width="12.28515625" bestFit="1" customWidth="1"/>
    <col min="10" max="13" width="18.7109375" bestFit="1" customWidth="1"/>
    <col min="14" max="14" width="23.28515625" bestFit="1" customWidth="1"/>
    <col min="15" max="15" width="24.140625" bestFit="1" customWidth="1"/>
    <col min="16" max="20" width="17" bestFit="1" customWidth="1"/>
    <col min="21" max="21" width="12.285156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6">
        <f>INDEX(Table3[],MATCH(realna_poraba_cupra__2[[#This Row],[Datum]],Table3[Veljavnost],1),2)*realna_poraba_cupra__2[[#This Row],[Litri]]</f>
        <v>58.296720000000001</v>
      </c>
      <c r="E3" s="2">
        <v>41907</v>
      </c>
      <c r="G3" t="s">
        <v>4</v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6">
        <f>INDEX(Table3[],MATCH(realna_poraba_cupra__2[[#This Row],[Datum]],Table3[Veljavnost],1),2)*realna_poraba_cupra__2[[#This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6">
        <f>INDEX(Table3[],MATCH(realna_poraba_cupra__2[[#This Row],[Datum]],Table3[Veljavnost],1),2)*realna_poraba_cupra__2[[#This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6">
        <f>INDEX(Table3[],MATCH(realna_poraba_cupra__2[[#This Row],[Datum]],Table3[Veljavnost],1),2)*realna_poraba_cupra__2[[#This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6">
        <f>INDEX(Table3[],MATCH(realna_poraba_cupra__2[[#This Row],[Datum]],Table3[Veljavnost],1),2)*realna_poraba_cupra__2[[#This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100*realna_poraba_cupra__2[[#This Row],[Litri]]/realna_poraba_cupra__2[[#This Row],[Prevoženo]]</f>
        <v>6.8640776699029127</v>
      </c>
      <c r="H7" s="3"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6">
        <f>INDEX(Table3[],MATCH(realna_poraba_cupra__2[[#This Row],[Datum]],Table3[Veljavnost],1),2)*realna_poraba_cupra__2[[#This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6">
        <f>INDEX(Table3[],MATCH(realna_poraba_cupra__2[[#This Row],[Datum]],Table3[Veljavnost],1),2)*realna_poraba_cupra__2[[#This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100*realna_poraba_cupra__2[[#This Row],[Litri]]/realna_poraba_cupra__2[[#This Row],[Prevoženo]]</f>
        <v>6.9544626593806917</v>
      </c>
      <c r="H9" s="3"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6">
        <f>INDEX(Table3[],MATCH(realna_poraba_cupra__2[[#This Row],[Datum]],Table3[Veljavnost],1),2)*realna_poraba_cupra__2[[#This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6">
        <f>INDEX(Table3[],MATCH(realna_poraba_cupra__2[[#This Row],[Datum]],Table3[Veljavnost],1),2)*realna_poraba_cupra__2[[#This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100*realna_poraba_cupra__2[[#This Row],[Litri]]/realna_poraba_cupra__2[[#This Row],[Prevoženo]]</f>
        <v>6.9821746880570412</v>
      </c>
      <c r="H11" s="3"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6">
        <f>INDEX(Table3[],MATCH(realna_poraba_cupra__2[[#This Row],[Datum]],Table3[Veljavnost],1),2)*realna_poraba_cupra__2[[#This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6">
        <f>INDEX(Table3[],MATCH(realna_poraba_cupra__2[[#This Row],[Datum]],Table3[Veljavnost],1),2)*realna_poraba_cupra__2[[#This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100*realna_poraba_cupra__2[[#This Row],[Litri]]/realna_poraba_cupra__2[[#This Row],[Prevoženo]]</f>
        <v>6.646677471636953</v>
      </c>
      <c r="H13" s="3"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6">
        <f>INDEX(Table3[],MATCH(realna_poraba_cupra__2[[#This Row],[Datum]],Table3[Veljavnost],1),2)*realna_poraba_cupra__2[[#This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6">
        <f>INDEX(Table3[],MATCH(realna_poraba_cupra__2[[#This Row],[Datum]],Table3[Veljavnost],1),2)*realna_poraba_cupra__2[[#This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100*realna_poraba_cupra__2[[#This Row],[Litri]]/realna_poraba_cupra__2[[#This Row],[Prevoženo]]</f>
        <v>6.9331103678929766</v>
      </c>
      <c r="H15" s="3"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6">
        <f>INDEX(Table3[],MATCH(realna_poraba_cupra__2[[#This Row],[Datum]],Table3[Veljavnost],1),2)*realna_poraba_cupra__2[[#This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6">
        <f>INDEX(Table3[],MATCH(realna_poraba_cupra__2[[#This Row],[Datum]],Table3[Veljavnost],1),2)*realna_poraba_cupra__2[[#This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100*realna_poraba_cupra__2[[#This Row],[Litri]]/realna_poraba_cupra__2[[#This Row],[Prevoženo]]</f>
        <v>7.2819548872180455</v>
      </c>
      <c r="H17" s="3"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6">
        <f>INDEX(Table3[],MATCH(realna_poraba_cupra__2[[#This Row],[Datum]],Table3[Veljavnost],1),2)*realna_poraba_cupra__2[[#This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6">
        <f>INDEX(Table3[],MATCH(realna_poraba_cupra__2[[#This Row],[Datum]],Table3[Veljavnost],1),2)*realna_poraba_cupra__2[[#This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100*realna_poraba_cupra__2[[#This Row],[Litri]]/realna_poraba_cupra__2[[#This Row],[Prevoženo]]</f>
        <v>7.2251407129455911</v>
      </c>
      <c r="H19" s="3"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6">
        <f>INDEX(Table3[],MATCH(realna_poraba_cupra__2[[#This Row],[Datum]],Table3[Veljavnost],1),2)*realna_poraba_cupra__2[[#This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6">
        <f>INDEX(Table3[],MATCH(realna_poraba_cupra__2[[#This Row],[Datum]],Table3[Veljavnost],1),2)*realna_poraba_cupra__2[[#This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100*realna_poraba_cupra__2[[#This Row],[Litri]]/realna_poraba_cupra__2[[#This Row],[Prevoženo]]</f>
        <v>7.1578044596912518</v>
      </c>
      <c r="H21" s="3"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6" spans="2:11" x14ac:dyDescent="0.25">
      <c r="D26" s="5"/>
      <c r="E26" s="5"/>
    </row>
    <row r="27" spans="2:11" x14ac:dyDescent="0.25">
      <c r="D27" s="5"/>
      <c r="E27" s="5"/>
    </row>
    <row r="28" spans="2:11" x14ac:dyDescent="0.25">
      <c r="C28" s="7" t="s">
        <v>20</v>
      </c>
    </row>
    <row r="29" spans="2:11" x14ac:dyDescent="0.25">
      <c r="B29" s="7" t="s">
        <v>19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10</v>
      </c>
    </row>
    <row r="30" spans="2:11" x14ac:dyDescent="0.25">
      <c r="B30" s="8" t="s">
        <v>17</v>
      </c>
      <c r="C30">
        <v>1789</v>
      </c>
      <c r="D30">
        <v>1850</v>
      </c>
      <c r="E30">
        <v>2321</v>
      </c>
      <c r="F30">
        <v>1138</v>
      </c>
      <c r="G30">
        <v>1986</v>
      </c>
      <c r="H30">
        <v>1185</v>
      </c>
      <c r="I30">
        <v>10269</v>
      </c>
    </row>
    <row r="31" spans="2:11" x14ac:dyDescent="0.25">
      <c r="B31" s="8" t="s">
        <v>18</v>
      </c>
      <c r="C31">
        <v>6.643286586493633</v>
      </c>
      <c r="D31">
        <v>6.7096452146904353</v>
      </c>
      <c r="E31">
        <v>6.9488756233742235</v>
      </c>
      <c r="F31">
        <v>6.909147776539081</v>
      </c>
      <c r="G31">
        <v>7.5451560100243888</v>
      </c>
      <c r="H31">
        <v>6.804815851108085</v>
      </c>
      <c r="I31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{6D03674D-8737-4866-A6ED-607B94FC8CB1}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03674D-8737-4866-A6ED-607B94FC8CB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Taja Pervinšek</cp:lastModifiedBy>
  <dcterms:created xsi:type="dcterms:W3CDTF">2007-10-01T06:54:22Z</dcterms:created>
  <dcterms:modified xsi:type="dcterms:W3CDTF">2026-02-06T18:02:26Z</dcterms:modified>
</cp:coreProperties>
</file>