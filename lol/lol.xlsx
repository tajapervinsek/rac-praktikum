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7f394ac1e0393/Documents/RS/rac-praktikum/lol/"/>
    </mc:Choice>
  </mc:AlternateContent>
  <xr:revisionPtr revIDLastSave="0" documentId="8_{8241397E-7EE7-4FB9-8D94-4DD1EF0C2874}" xr6:coauthVersionLast="47" xr6:coauthVersionMax="47" xr10:uidLastSave="{00000000-0000-0000-0000-000000000000}"/>
  <bookViews>
    <workbookView xWindow="-120" yWindow="-120" windowWidth="29040" windowHeight="15720" xr2:uid="{6FF8697C-6F90-438B-863F-583F1FC14F4C}"/>
  </bookViews>
  <sheets>
    <sheet name="vhodni-podatki" sheetId="2" r:id="rId1"/>
    <sheet name="List1" sheetId="1" r:id="rId2"/>
  </sheets>
  <definedNames>
    <definedName name="ExternalData_1" localSheetId="0" hidden="1">'vhodni-podatki'!$B$1:$E$73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915F34-3F1B-46FB-A298-F51B64D8A3E5}" keepAlive="1" name="Poizvedba – vhodni-podatki" description="Povezava s poizvedbo »vhodni-podatki« v delovnem zvezku." type="5" refreshedVersion="8" background="1" saveData="1">
    <dbPr connection="Provider=Microsoft.Mashup.OleDb.1;Data Source=$Workbook$;Location=vhodni-podatki;Extended Properties=&quot;&quot;" command="SELECT * FROM [vhodni-podatki]"/>
  </connection>
</connections>
</file>

<file path=xl/sharedStrings.xml><?xml version="1.0" encoding="utf-8"?>
<sst xmlns="http://schemas.openxmlformats.org/spreadsheetml/2006/main" count="89" uniqueCount="16">
  <si>
    <t>Regija</t>
  </si>
  <si>
    <t>Mesec</t>
  </si>
  <si>
    <t>Št. turistov</t>
  </si>
  <si>
    <t>Povprečna nočitev (noči)</t>
  </si>
  <si>
    <t>Gorenjska</t>
  </si>
  <si>
    <t>Primorska</t>
  </si>
  <si>
    <t>Štajerska</t>
  </si>
  <si>
    <t>Dolenjska</t>
  </si>
  <si>
    <t>Prekmurje</t>
  </si>
  <si>
    <t>Koroška</t>
  </si>
  <si>
    <t>Kvartal</t>
  </si>
  <si>
    <t>Nočitve</t>
  </si>
  <si>
    <t>Oznake stolpcev</t>
  </si>
  <si>
    <t>Skupna vsota</t>
  </si>
  <si>
    <t>Oznake vrstic</t>
  </si>
  <si>
    <t>Povprečje od Povprečna nočitev (noči)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</si>
</sst>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avadno" xfId="0" builtinId="0"/>
  </cellStyles>
  <dxfs count="38">
    <dxf>
      <numFmt numFmtId="172" formatCode="0.0"/>
    </dxf>
    <dxf>
      <numFmt numFmtId="2" formatCode="0.00"/>
    </dxf>
    <dxf>
      <numFmt numFmtId="172" formatCode="0.0"/>
    </dxf>
    <dxf>
      <numFmt numFmtId="1" formatCode="0"/>
    </dxf>
    <dxf>
      <numFmt numFmtId="1" formatCode="0"/>
    </dxf>
    <dxf>
      <numFmt numFmtId="172" formatCode="0.0"/>
    </dxf>
    <dxf>
      <numFmt numFmtId="172" formatCode="0.0"/>
    </dxf>
    <dxf>
      <numFmt numFmtId="2" formatCode="0.00"/>
    </dxf>
    <dxf>
      <numFmt numFmtId="2" formatCode="0.00"/>
    </dxf>
    <dxf>
      <numFmt numFmtId="171" formatCode="0.000"/>
    </dxf>
    <dxf>
      <numFmt numFmtId="171" formatCode="0.000"/>
    </dxf>
    <dxf>
      <numFmt numFmtId="170" formatCode="0.0000"/>
    </dxf>
    <dxf>
      <numFmt numFmtId="170" formatCode="0.0000"/>
    </dxf>
    <dxf>
      <numFmt numFmtId="169" formatCode="0.00000"/>
    </dxf>
    <dxf>
      <numFmt numFmtId="169" formatCode="0.00000"/>
    </dxf>
    <dxf>
      <numFmt numFmtId="168" formatCode="0.000000"/>
    </dxf>
    <dxf>
      <numFmt numFmtId="168" formatCode="0.000000"/>
    </dxf>
    <dxf>
      <numFmt numFmtId="167" formatCode="0.0000000"/>
    </dxf>
    <dxf>
      <numFmt numFmtId="167" formatCode="0.0000000"/>
    </dxf>
    <dxf>
      <numFmt numFmtId="166" formatCode="0.00000000"/>
    </dxf>
    <dxf>
      <numFmt numFmtId="166" formatCode="0.00000000"/>
    </dxf>
    <dxf>
      <numFmt numFmtId="165" formatCode="0.000000000"/>
    </dxf>
    <dxf>
      <numFmt numFmtId="165" formatCode="0.000000000"/>
    </dxf>
    <dxf>
      <numFmt numFmtId="164" formatCode="0.0000000000"/>
    </dxf>
    <dxf>
      <numFmt numFmtId="164" formatCode="0.0000000000"/>
    </dxf>
    <dxf>
      <numFmt numFmtId="0" formatCode="General"/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ja Pervinšek" refreshedDate="46060.694402777779" createdVersion="8" refreshedVersion="8" minRefreshableVersion="3" recordCount="72" xr:uid="{E9B6E65E-66BF-4606-98D3-40D7490E9E29}">
  <cacheSource type="worksheet">
    <worksheetSource name="vhodni_podatki"/>
  </cacheSource>
  <cacheFields count="6">
    <cacheField name="Kvartal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Regija" numFmtId="0">
      <sharedItems count="6">
        <s v="Gorenjska"/>
        <s v="Primorska"/>
        <s v="Štajerska"/>
        <s v="Dolenjska"/>
        <s v="Prekmurje"/>
        <s v="Koroška"/>
      </sharedItems>
    </cacheField>
    <cacheField name="Mesec" numFmtId="0">
      <sharedItems containsSemiMixedTypes="0" containsString="0" containsNumber="1" containsInteger="1" minValue="1" maxValue="12"/>
    </cacheField>
    <cacheField name="Št. turistov" numFmtId="0">
      <sharedItems containsSemiMixedTypes="0" containsString="0" containsNumber="1" containsInteger="1" minValue="141" maxValue="4900"/>
    </cacheField>
    <cacheField name="Povprečna nočitev (noči)" numFmtId="0">
      <sharedItems containsSemiMixedTypes="0" containsString="0" containsNumber="1" containsInteger="1" minValue="1" maxValue="6"/>
    </cacheField>
    <cacheField name="Nočitve" numFmtId="0">
      <sharedItems containsSemiMixedTypes="0" containsString="0" containsNumber="1" containsInteger="1" minValue="205" maxValue="29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n v="1"/>
    <n v="3099"/>
    <n v="6"/>
    <n v="18594"/>
  </r>
  <r>
    <x v="0"/>
    <x v="0"/>
    <n v="2"/>
    <n v="266"/>
    <n v="6"/>
    <n v="1596"/>
  </r>
  <r>
    <x v="0"/>
    <x v="0"/>
    <n v="3"/>
    <n v="257"/>
    <n v="4"/>
    <n v="1028"/>
  </r>
  <r>
    <x v="1"/>
    <x v="0"/>
    <n v="4"/>
    <n v="3800"/>
    <n v="3"/>
    <n v="11400"/>
  </r>
  <r>
    <x v="1"/>
    <x v="0"/>
    <n v="5"/>
    <n v="829"/>
    <n v="5"/>
    <n v="4145"/>
  </r>
  <r>
    <x v="1"/>
    <x v="0"/>
    <n v="6"/>
    <n v="3323"/>
    <n v="6"/>
    <n v="19938"/>
  </r>
  <r>
    <x v="2"/>
    <x v="0"/>
    <n v="7"/>
    <n v="1267"/>
    <n v="5"/>
    <n v="6335"/>
  </r>
  <r>
    <x v="2"/>
    <x v="0"/>
    <n v="8"/>
    <n v="1161"/>
    <n v="3"/>
    <n v="3483"/>
  </r>
  <r>
    <x v="2"/>
    <x v="0"/>
    <n v="9"/>
    <n v="4375"/>
    <n v="6"/>
    <n v="26250"/>
  </r>
  <r>
    <x v="3"/>
    <x v="0"/>
    <n v="10"/>
    <n v="2209"/>
    <n v="3"/>
    <n v="6627"/>
  </r>
  <r>
    <x v="3"/>
    <x v="0"/>
    <n v="11"/>
    <n v="4178"/>
    <n v="5"/>
    <n v="20890"/>
  </r>
  <r>
    <x v="3"/>
    <x v="0"/>
    <n v="12"/>
    <n v="3348"/>
    <n v="2"/>
    <n v="6696"/>
  </r>
  <r>
    <x v="0"/>
    <x v="1"/>
    <n v="1"/>
    <n v="2461"/>
    <n v="5"/>
    <n v="12305"/>
  </r>
  <r>
    <x v="0"/>
    <x v="1"/>
    <n v="2"/>
    <n v="249"/>
    <n v="5"/>
    <n v="1245"/>
  </r>
  <r>
    <x v="0"/>
    <x v="1"/>
    <n v="3"/>
    <n v="2102"/>
    <n v="4"/>
    <n v="8408"/>
  </r>
  <r>
    <x v="1"/>
    <x v="1"/>
    <n v="4"/>
    <n v="4449"/>
    <n v="3"/>
    <n v="13347"/>
  </r>
  <r>
    <x v="1"/>
    <x v="1"/>
    <n v="5"/>
    <n v="2246"/>
    <n v="6"/>
    <n v="13476"/>
  </r>
  <r>
    <x v="1"/>
    <x v="1"/>
    <n v="6"/>
    <n v="205"/>
    <n v="1"/>
    <n v="205"/>
  </r>
  <r>
    <x v="2"/>
    <x v="1"/>
    <n v="7"/>
    <n v="2896"/>
    <n v="4"/>
    <n v="11584"/>
  </r>
  <r>
    <x v="2"/>
    <x v="1"/>
    <n v="8"/>
    <n v="4006"/>
    <n v="1"/>
    <n v="4006"/>
  </r>
  <r>
    <x v="2"/>
    <x v="1"/>
    <n v="9"/>
    <n v="3002"/>
    <n v="4"/>
    <n v="12008"/>
  </r>
  <r>
    <x v="3"/>
    <x v="1"/>
    <n v="10"/>
    <n v="1254"/>
    <n v="1"/>
    <n v="1254"/>
  </r>
  <r>
    <x v="3"/>
    <x v="1"/>
    <n v="11"/>
    <n v="1610"/>
    <n v="5"/>
    <n v="8050"/>
  </r>
  <r>
    <x v="3"/>
    <x v="1"/>
    <n v="12"/>
    <n v="1480"/>
    <n v="3"/>
    <n v="4440"/>
  </r>
  <r>
    <x v="0"/>
    <x v="2"/>
    <n v="1"/>
    <n v="1304"/>
    <n v="6"/>
    <n v="7824"/>
  </r>
  <r>
    <x v="0"/>
    <x v="2"/>
    <n v="2"/>
    <n v="2613"/>
    <n v="5"/>
    <n v="13065"/>
  </r>
  <r>
    <x v="0"/>
    <x v="2"/>
    <n v="3"/>
    <n v="2662"/>
    <n v="4"/>
    <n v="10648"/>
  </r>
  <r>
    <x v="1"/>
    <x v="2"/>
    <n v="4"/>
    <n v="3674"/>
    <n v="6"/>
    <n v="22044"/>
  </r>
  <r>
    <x v="1"/>
    <x v="2"/>
    <n v="5"/>
    <n v="1719"/>
    <n v="2"/>
    <n v="3438"/>
  </r>
  <r>
    <x v="1"/>
    <x v="2"/>
    <n v="6"/>
    <n v="3538"/>
    <n v="2"/>
    <n v="7076"/>
  </r>
  <r>
    <x v="2"/>
    <x v="2"/>
    <n v="7"/>
    <n v="3492"/>
    <n v="4"/>
    <n v="13968"/>
  </r>
  <r>
    <x v="2"/>
    <x v="2"/>
    <n v="8"/>
    <n v="204"/>
    <n v="6"/>
    <n v="1224"/>
  </r>
  <r>
    <x v="2"/>
    <x v="2"/>
    <n v="9"/>
    <n v="4846"/>
    <n v="4"/>
    <n v="19384"/>
  </r>
  <r>
    <x v="3"/>
    <x v="2"/>
    <n v="10"/>
    <n v="931"/>
    <n v="4"/>
    <n v="3724"/>
  </r>
  <r>
    <x v="3"/>
    <x v="2"/>
    <n v="11"/>
    <n v="3142"/>
    <n v="3"/>
    <n v="9426"/>
  </r>
  <r>
    <x v="3"/>
    <x v="2"/>
    <n v="12"/>
    <n v="141"/>
    <n v="5"/>
    <n v="705"/>
  </r>
  <r>
    <x v="0"/>
    <x v="3"/>
    <n v="1"/>
    <n v="188"/>
    <n v="2"/>
    <n v="376"/>
  </r>
  <r>
    <x v="0"/>
    <x v="3"/>
    <n v="2"/>
    <n v="2772"/>
    <n v="4"/>
    <n v="11088"/>
  </r>
  <r>
    <x v="0"/>
    <x v="3"/>
    <n v="3"/>
    <n v="3397"/>
    <n v="4"/>
    <n v="13588"/>
  </r>
  <r>
    <x v="1"/>
    <x v="3"/>
    <n v="4"/>
    <n v="4032"/>
    <n v="6"/>
    <n v="24192"/>
  </r>
  <r>
    <x v="1"/>
    <x v="3"/>
    <n v="5"/>
    <n v="2705"/>
    <n v="3"/>
    <n v="8115"/>
  </r>
  <r>
    <x v="1"/>
    <x v="3"/>
    <n v="6"/>
    <n v="1560"/>
    <n v="3"/>
    <n v="4680"/>
  </r>
  <r>
    <x v="2"/>
    <x v="3"/>
    <n v="7"/>
    <n v="1964"/>
    <n v="3"/>
    <n v="5892"/>
  </r>
  <r>
    <x v="2"/>
    <x v="3"/>
    <n v="8"/>
    <n v="1161"/>
    <n v="4"/>
    <n v="4644"/>
  </r>
  <r>
    <x v="2"/>
    <x v="3"/>
    <n v="9"/>
    <n v="1088"/>
    <n v="6"/>
    <n v="6528"/>
  </r>
  <r>
    <x v="3"/>
    <x v="3"/>
    <n v="10"/>
    <n v="3432"/>
    <n v="4"/>
    <n v="13728"/>
  </r>
  <r>
    <x v="3"/>
    <x v="3"/>
    <n v="11"/>
    <n v="2033"/>
    <n v="1"/>
    <n v="2033"/>
  </r>
  <r>
    <x v="3"/>
    <x v="3"/>
    <n v="12"/>
    <n v="805"/>
    <n v="2"/>
    <n v="1610"/>
  </r>
  <r>
    <x v="0"/>
    <x v="4"/>
    <n v="1"/>
    <n v="1827"/>
    <n v="5"/>
    <n v="9135"/>
  </r>
  <r>
    <x v="0"/>
    <x v="4"/>
    <n v="2"/>
    <n v="2214"/>
    <n v="1"/>
    <n v="2214"/>
  </r>
  <r>
    <x v="0"/>
    <x v="4"/>
    <n v="3"/>
    <n v="1042"/>
    <n v="4"/>
    <n v="4168"/>
  </r>
  <r>
    <x v="1"/>
    <x v="4"/>
    <n v="4"/>
    <n v="2933"/>
    <n v="2"/>
    <n v="5866"/>
  </r>
  <r>
    <x v="1"/>
    <x v="4"/>
    <n v="5"/>
    <n v="3655"/>
    <n v="4"/>
    <n v="14620"/>
  </r>
  <r>
    <x v="1"/>
    <x v="4"/>
    <n v="6"/>
    <n v="4774"/>
    <n v="1"/>
    <n v="4774"/>
  </r>
  <r>
    <x v="2"/>
    <x v="4"/>
    <n v="7"/>
    <n v="1443"/>
    <n v="3"/>
    <n v="4329"/>
  </r>
  <r>
    <x v="2"/>
    <x v="4"/>
    <n v="8"/>
    <n v="722"/>
    <n v="2"/>
    <n v="1444"/>
  </r>
  <r>
    <x v="2"/>
    <x v="4"/>
    <n v="9"/>
    <n v="2038"/>
    <n v="4"/>
    <n v="8152"/>
  </r>
  <r>
    <x v="3"/>
    <x v="4"/>
    <n v="10"/>
    <n v="633"/>
    <n v="6"/>
    <n v="3798"/>
  </r>
  <r>
    <x v="3"/>
    <x v="4"/>
    <n v="11"/>
    <n v="2759"/>
    <n v="2"/>
    <n v="5518"/>
  </r>
  <r>
    <x v="3"/>
    <x v="4"/>
    <n v="12"/>
    <n v="1592"/>
    <n v="5"/>
    <n v="7960"/>
  </r>
  <r>
    <x v="0"/>
    <x v="5"/>
    <n v="1"/>
    <n v="3117"/>
    <n v="4"/>
    <n v="12468"/>
  </r>
  <r>
    <x v="0"/>
    <x v="5"/>
    <n v="2"/>
    <n v="434"/>
    <n v="5"/>
    <n v="2170"/>
  </r>
  <r>
    <x v="0"/>
    <x v="5"/>
    <n v="3"/>
    <n v="4216"/>
    <n v="2"/>
    <n v="8432"/>
  </r>
  <r>
    <x v="1"/>
    <x v="5"/>
    <n v="4"/>
    <n v="1074"/>
    <n v="5"/>
    <n v="5370"/>
  </r>
  <r>
    <x v="1"/>
    <x v="5"/>
    <n v="5"/>
    <n v="3323"/>
    <n v="4"/>
    <n v="13292"/>
  </r>
  <r>
    <x v="1"/>
    <x v="5"/>
    <n v="6"/>
    <n v="4546"/>
    <n v="6"/>
    <n v="27276"/>
  </r>
  <r>
    <x v="2"/>
    <x v="5"/>
    <n v="7"/>
    <n v="3369"/>
    <n v="3"/>
    <n v="10107"/>
  </r>
  <r>
    <x v="2"/>
    <x v="5"/>
    <n v="8"/>
    <n v="3302"/>
    <n v="1"/>
    <n v="3302"/>
  </r>
  <r>
    <x v="2"/>
    <x v="5"/>
    <n v="9"/>
    <n v="4900"/>
    <n v="6"/>
    <n v="29400"/>
  </r>
  <r>
    <x v="3"/>
    <x v="5"/>
    <n v="10"/>
    <n v="4657"/>
    <n v="4"/>
    <n v="18628"/>
  </r>
  <r>
    <x v="3"/>
    <x v="5"/>
    <n v="11"/>
    <n v="739"/>
    <n v="1"/>
    <n v="739"/>
  </r>
  <r>
    <x v="3"/>
    <x v="5"/>
    <n v="12"/>
    <n v="2731"/>
    <n v="5"/>
    <n v="136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DEF8C-3A7B-460C-AB5C-964C723EEBA2}" name="Vrtilna tabela2" cacheId="13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K11:P19" firstHeaderRow="1" firstDataRow="2" firstDataCol="1"/>
  <pivotFields count="6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3"/>
        <item x="0"/>
        <item x="5"/>
        <item x="4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Povprečje od Povprečna nočitev (noči)" fld="4" subtotal="average" baseField="1" baseItem="0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260BF3-BA51-4A96-8E9F-820A62CE2FE7}" autoFormatId="16" applyNumberFormats="0" applyBorderFormats="0" applyFontFormats="0" applyPatternFormats="0" applyAlignmentFormats="0" applyWidthHeightFormats="0">
  <queryTableRefresh nextId="7" unboundColumnsLeft="1" unboundColumnsRight="1">
    <queryTableFields count="6">
      <queryTableField id="5" dataBound="0" tableColumnId="6"/>
      <queryTableField id="1" name="Regija" tableColumnId="1"/>
      <queryTableField id="2" name="Mesec" tableColumnId="2"/>
      <queryTableField id="3" name="Št. turistov" tableColumnId="3"/>
      <queryTableField id="4" name="Povprečna nočitev (noči)" tableColumnId="4"/>
      <queryTableField id="6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A1706-255F-4780-A846-C17E410AE6BE}" name="vhodni_podatki" displayName="vhodni_podatki" ref="A1:F73" tableType="queryTable" totalsRowShown="0">
  <autoFilter ref="A1:F73" xr:uid="{D21A1706-255F-4780-A846-C17E410AE6BE}"/>
  <tableColumns count="6">
    <tableColumn id="6" xr3:uid="{27A279DE-D5E0-4919-9245-29050A7639AD}" uniqueName="6" name="Kvartal" queryTableFieldId="5" dataDxfId="25">
      <calculatedColumnFormula>ROUNDUP(vhodni_podatki[[#This Row],[Mesec]]/3, 0)</calculatedColumnFormula>
    </tableColumn>
    <tableColumn id="1" xr3:uid="{AF16CFCD-993D-4653-A680-FAF580A5584D}" uniqueName="1" name="Regija" queryTableFieldId="1" dataDxfId="37"/>
    <tableColumn id="2" xr3:uid="{472C8531-28AF-4EFC-B826-ACA4CCC4A570}" uniqueName="2" name="Mesec" queryTableFieldId="2"/>
    <tableColumn id="3" xr3:uid="{87A28210-5FB7-4C1D-8AE3-AE84D56CE632}" uniqueName="3" name="Št. turistov" queryTableFieldId="3"/>
    <tableColumn id="4" xr3:uid="{75A41C5C-6B90-4355-A7AF-32FDC47E2A71}" uniqueName="4" name="Povprečna nočitev (noči)" queryTableFieldId="4"/>
    <tableColumn id="7" xr3:uid="{D230653D-00CA-4AD0-8D23-9D0953815F70}" uniqueName="7" name="Nočitve" queryTableFieldId="6" dataDxfId="36">
      <calculatedColumnFormula>vhodni_podatki[[#This Row],[Povprečna nočitev (noči)]]*vhodni_podatki[[#This Row],[Št. turistov]]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28BD-EBEF-4E13-91FD-FC3C7F04EB1F}">
  <dimension ref="A1:P73"/>
  <sheetViews>
    <sheetView tabSelected="1" workbookViewId="0">
      <selection activeCell="N8" sqref="N8"/>
    </sheetView>
  </sheetViews>
  <sheetFormatPr defaultRowHeight="15" x14ac:dyDescent="0.25"/>
  <cols>
    <col min="1" max="1" width="10.140625" bestFit="1" customWidth="1"/>
    <col min="3" max="3" width="13.140625" bestFit="1" customWidth="1"/>
    <col min="4" max="4" width="26" bestFit="1" customWidth="1"/>
    <col min="11" max="11" width="36.28515625" bestFit="1" customWidth="1"/>
    <col min="12" max="12" width="18.28515625" bestFit="1" customWidth="1"/>
    <col min="13" max="15" width="12.5703125" bestFit="1" customWidth="1"/>
    <col min="16" max="16" width="13" bestFit="1" customWidth="1"/>
    <col min="17" max="17" width="2" bestFit="1" customWidth="1"/>
    <col min="18" max="18" width="12.85546875" bestFit="1" customWidth="1"/>
    <col min="19" max="56" width="5" bestFit="1" customWidth="1"/>
    <col min="57" max="83" width="6" bestFit="1" customWidth="1"/>
    <col min="84" max="84" width="12.85546875" bestFit="1" customWidth="1"/>
  </cols>
  <sheetData>
    <row r="1" spans="1:16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11</v>
      </c>
    </row>
    <row r="2" spans="1:16" x14ac:dyDescent="0.25">
      <c r="A2" s="1">
        <f>ROUNDUP(vhodni_podatki[[#This Row],[Mesec]]/3, 0)</f>
        <v>1</v>
      </c>
      <c r="B2" s="1" t="s">
        <v>4</v>
      </c>
      <c r="C2">
        <v>1</v>
      </c>
      <c r="D2">
        <v>3099</v>
      </c>
      <c r="E2">
        <v>6</v>
      </c>
      <c r="F2">
        <f>vhodni_podatki[[#This Row],[Povprečna nočitev (noči)]]*vhodni_podatki[[#This Row],[Št. turistov]]</f>
        <v>18594</v>
      </c>
    </row>
    <row r="3" spans="1:16" x14ac:dyDescent="0.25">
      <c r="A3" s="1">
        <f>ROUNDUP(vhodni_podatki[[#This Row],[Mesec]]/3, 0)</f>
        <v>1</v>
      </c>
      <c r="B3" s="1" t="s">
        <v>4</v>
      </c>
      <c r="C3">
        <v>2</v>
      </c>
      <c r="D3">
        <v>266</v>
      </c>
      <c r="E3">
        <v>6</v>
      </c>
      <c r="F3">
        <f>vhodni_podatki[[#This Row],[Povprečna nočitev (noči)]]*vhodni_podatki[[#This Row],[Št. turistov]]</f>
        <v>1596</v>
      </c>
    </row>
    <row r="4" spans="1:16" x14ac:dyDescent="0.25">
      <c r="A4" s="1">
        <f>ROUNDUP(vhodni_podatki[[#This Row],[Mesec]]/3, 0)</f>
        <v>1</v>
      </c>
      <c r="B4" s="1" t="s">
        <v>4</v>
      </c>
      <c r="C4">
        <v>3</v>
      </c>
      <c r="D4">
        <v>257</v>
      </c>
      <c r="E4">
        <v>4</v>
      </c>
      <c r="F4">
        <f>vhodni_podatki[[#This Row],[Povprečna nočitev (noči)]]*vhodni_podatki[[#This Row],[Št. turistov]]</f>
        <v>1028</v>
      </c>
    </row>
    <row r="5" spans="1:16" x14ac:dyDescent="0.25">
      <c r="A5" s="1">
        <f>ROUNDUP(vhodni_podatki[[#This Row],[Mesec]]/3, 0)</f>
        <v>2</v>
      </c>
      <c r="B5" s="1" t="s">
        <v>4</v>
      </c>
      <c r="C5">
        <v>4</v>
      </c>
      <c r="D5">
        <v>3800</v>
      </c>
      <c r="E5">
        <v>3</v>
      </c>
      <c r="F5">
        <f>vhodni_podatki[[#This Row],[Povprečna nočitev (noči)]]*vhodni_podatki[[#This Row],[Št. turistov]]</f>
        <v>11400</v>
      </c>
    </row>
    <row r="6" spans="1:16" x14ac:dyDescent="0.25">
      <c r="A6" s="1">
        <f>ROUNDUP(vhodni_podatki[[#This Row],[Mesec]]/3, 0)</f>
        <v>2</v>
      </c>
      <c r="B6" s="1" t="s">
        <v>4</v>
      </c>
      <c r="C6">
        <v>5</v>
      </c>
      <c r="D6">
        <v>829</v>
      </c>
      <c r="E6">
        <v>5</v>
      </c>
      <c r="F6">
        <f>vhodni_podatki[[#This Row],[Povprečna nočitev (noči)]]*vhodni_podatki[[#This Row],[Št. turistov]]</f>
        <v>4145</v>
      </c>
    </row>
    <row r="7" spans="1:16" x14ac:dyDescent="0.25">
      <c r="A7" s="1">
        <f>ROUNDUP(vhodni_podatki[[#This Row],[Mesec]]/3, 0)</f>
        <v>2</v>
      </c>
      <c r="B7" s="1" t="s">
        <v>4</v>
      </c>
      <c r="C7">
        <v>6</v>
      </c>
      <c r="D7">
        <v>3323</v>
      </c>
      <c r="E7">
        <v>6</v>
      </c>
      <c r="F7">
        <f>vhodni_podatki[[#This Row],[Povprečna nočitev (noči)]]*vhodni_podatki[[#This Row],[Št. turistov]]</f>
        <v>19938</v>
      </c>
    </row>
    <row r="8" spans="1:16" x14ac:dyDescent="0.25">
      <c r="A8" s="1">
        <f>ROUNDUP(vhodni_podatki[[#This Row],[Mesec]]/3, 0)</f>
        <v>3</v>
      </c>
      <c r="B8" s="1" t="s">
        <v>4</v>
      </c>
      <c r="C8">
        <v>7</v>
      </c>
      <c r="D8">
        <v>1267</v>
      </c>
      <c r="E8">
        <v>5</v>
      </c>
      <c r="F8">
        <f>vhodni_podatki[[#This Row],[Povprečna nočitev (noči)]]*vhodni_podatki[[#This Row],[Št. turistov]]</f>
        <v>6335</v>
      </c>
    </row>
    <row r="9" spans="1:16" x14ac:dyDescent="0.25">
      <c r="A9" s="1">
        <f>ROUNDUP(vhodni_podatki[[#This Row],[Mesec]]/3, 0)</f>
        <v>3</v>
      </c>
      <c r="B9" s="1" t="s">
        <v>4</v>
      </c>
      <c r="C9">
        <v>8</v>
      </c>
      <c r="D9">
        <v>1161</v>
      </c>
      <c r="E9">
        <v>3</v>
      </c>
      <c r="F9">
        <f>vhodni_podatki[[#This Row],[Povprečna nočitev (noči)]]*vhodni_podatki[[#This Row],[Št. turistov]]</f>
        <v>3483</v>
      </c>
    </row>
    <row r="10" spans="1:16" x14ac:dyDescent="0.25">
      <c r="A10" s="1">
        <f>ROUNDUP(vhodni_podatki[[#This Row],[Mesec]]/3, 0)</f>
        <v>3</v>
      </c>
      <c r="B10" s="1" t="s">
        <v>4</v>
      </c>
      <c r="C10">
        <v>9</v>
      </c>
      <c r="D10">
        <v>4375</v>
      </c>
      <c r="E10">
        <v>6</v>
      </c>
      <c r="F10">
        <f>vhodni_podatki[[#This Row],[Povprečna nočitev (noči)]]*vhodni_podatki[[#This Row],[Št. turistov]]</f>
        <v>26250</v>
      </c>
    </row>
    <row r="11" spans="1:16" x14ac:dyDescent="0.25">
      <c r="A11" s="1">
        <f>ROUNDUP(vhodni_podatki[[#This Row],[Mesec]]/3, 0)</f>
        <v>4</v>
      </c>
      <c r="B11" s="1" t="s">
        <v>4</v>
      </c>
      <c r="C11">
        <v>10</v>
      </c>
      <c r="D11">
        <v>2209</v>
      </c>
      <c r="E11">
        <v>3</v>
      </c>
      <c r="F11">
        <f>vhodni_podatki[[#This Row],[Povprečna nočitev (noči)]]*vhodni_podatki[[#This Row],[Št. turistov]]</f>
        <v>6627</v>
      </c>
      <c r="K11" s="2" t="s">
        <v>15</v>
      </c>
      <c r="L11" s="2" t="s">
        <v>12</v>
      </c>
    </row>
    <row r="12" spans="1:16" x14ac:dyDescent="0.25">
      <c r="A12" s="1">
        <f>ROUNDUP(vhodni_podatki[[#This Row],[Mesec]]/3, 0)</f>
        <v>4</v>
      </c>
      <c r="B12" s="1" t="s">
        <v>4</v>
      </c>
      <c r="C12">
        <v>11</v>
      </c>
      <c r="D12">
        <v>4178</v>
      </c>
      <c r="E12">
        <v>5</v>
      </c>
      <c r="F12">
        <f>vhodni_podatki[[#This Row],[Povprečna nočitev (noči)]]*vhodni_podatki[[#This Row],[Št. turistov]]</f>
        <v>20890</v>
      </c>
      <c r="K12" s="2" t="s">
        <v>14</v>
      </c>
      <c r="L12">
        <v>1</v>
      </c>
      <c r="M12">
        <v>2</v>
      </c>
      <c r="N12">
        <v>3</v>
      </c>
      <c r="O12">
        <v>4</v>
      </c>
      <c r="P12" t="s">
        <v>13</v>
      </c>
    </row>
    <row r="13" spans="1:16" x14ac:dyDescent="0.25">
      <c r="A13" s="1">
        <f>ROUNDUP(vhodni_podatki[[#This Row],[Mesec]]/3, 0)</f>
        <v>4</v>
      </c>
      <c r="B13" s="1" t="s">
        <v>4</v>
      </c>
      <c r="C13">
        <v>12</v>
      </c>
      <c r="D13">
        <v>3348</v>
      </c>
      <c r="E13">
        <v>2</v>
      </c>
      <c r="F13">
        <f>vhodni_podatki[[#This Row],[Povprečna nočitev (noči)]]*vhodni_podatki[[#This Row],[Št. turistov]]</f>
        <v>6696</v>
      </c>
      <c r="K13" s="3" t="s">
        <v>7</v>
      </c>
      <c r="L13" s="4">
        <v>3.3333333333333335</v>
      </c>
      <c r="M13" s="4">
        <v>4</v>
      </c>
      <c r="N13" s="4">
        <v>4.333333333333333</v>
      </c>
      <c r="O13" s="4">
        <v>2.3333333333333335</v>
      </c>
      <c r="P13" s="4">
        <v>3.5</v>
      </c>
    </row>
    <row r="14" spans="1:16" x14ac:dyDescent="0.25">
      <c r="A14" s="1">
        <f>ROUNDUP(vhodni_podatki[[#This Row],[Mesec]]/3, 0)</f>
        <v>1</v>
      </c>
      <c r="B14" s="1" t="s">
        <v>5</v>
      </c>
      <c r="C14">
        <v>1</v>
      </c>
      <c r="D14">
        <v>2461</v>
      </c>
      <c r="E14">
        <v>5</v>
      </c>
      <c r="F14">
        <f>vhodni_podatki[[#This Row],[Povprečna nočitev (noči)]]*vhodni_podatki[[#This Row],[Št. turistov]]</f>
        <v>12305</v>
      </c>
      <c r="K14" s="3" t="s">
        <v>4</v>
      </c>
      <c r="L14" s="4">
        <v>5.333333333333333</v>
      </c>
      <c r="M14" s="4">
        <v>4.666666666666667</v>
      </c>
      <c r="N14" s="4">
        <v>4.666666666666667</v>
      </c>
      <c r="O14" s="4">
        <v>3.3333333333333335</v>
      </c>
      <c r="P14" s="4">
        <v>4.5</v>
      </c>
    </row>
    <row r="15" spans="1:16" x14ac:dyDescent="0.25">
      <c r="A15" s="1">
        <f>ROUNDUP(vhodni_podatki[[#This Row],[Mesec]]/3, 0)</f>
        <v>1</v>
      </c>
      <c r="B15" s="1" t="s">
        <v>5</v>
      </c>
      <c r="C15">
        <v>2</v>
      </c>
      <c r="D15">
        <v>249</v>
      </c>
      <c r="E15">
        <v>5</v>
      </c>
      <c r="F15">
        <f>vhodni_podatki[[#This Row],[Povprečna nočitev (noči)]]*vhodni_podatki[[#This Row],[Št. turistov]]</f>
        <v>1245</v>
      </c>
      <c r="K15" s="3" t="s">
        <v>9</v>
      </c>
      <c r="L15" s="4">
        <v>3.6666666666666665</v>
      </c>
      <c r="M15" s="4">
        <v>5</v>
      </c>
      <c r="N15" s="4">
        <v>3.3333333333333335</v>
      </c>
      <c r="O15" s="4">
        <v>3.3333333333333335</v>
      </c>
      <c r="P15" s="4">
        <v>3.8333333333333335</v>
      </c>
    </row>
    <row r="16" spans="1:16" x14ac:dyDescent="0.25">
      <c r="A16" s="1">
        <f>ROUNDUP(vhodni_podatki[[#This Row],[Mesec]]/3, 0)</f>
        <v>1</v>
      </c>
      <c r="B16" s="1" t="s">
        <v>5</v>
      </c>
      <c r="C16">
        <v>3</v>
      </c>
      <c r="D16">
        <v>2102</v>
      </c>
      <c r="E16">
        <v>4</v>
      </c>
      <c r="F16">
        <f>vhodni_podatki[[#This Row],[Povprečna nočitev (noči)]]*vhodni_podatki[[#This Row],[Št. turistov]]</f>
        <v>8408</v>
      </c>
      <c r="K16" s="3" t="s">
        <v>8</v>
      </c>
      <c r="L16" s="4">
        <v>3.3333333333333335</v>
      </c>
      <c r="M16" s="4">
        <v>2.3333333333333335</v>
      </c>
      <c r="N16" s="4">
        <v>3</v>
      </c>
      <c r="O16" s="4">
        <v>4.333333333333333</v>
      </c>
      <c r="P16" s="4">
        <v>3.25</v>
      </c>
    </row>
    <row r="17" spans="1:16" x14ac:dyDescent="0.25">
      <c r="A17" s="1">
        <f>ROUNDUP(vhodni_podatki[[#This Row],[Mesec]]/3, 0)</f>
        <v>2</v>
      </c>
      <c r="B17" s="1" t="s">
        <v>5</v>
      </c>
      <c r="C17">
        <v>4</v>
      </c>
      <c r="D17">
        <v>4449</v>
      </c>
      <c r="E17">
        <v>3</v>
      </c>
      <c r="F17">
        <f>vhodni_podatki[[#This Row],[Povprečna nočitev (noči)]]*vhodni_podatki[[#This Row],[Št. turistov]]</f>
        <v>13347</v>
      </c>
      <c r="K17" s="3" t="s">
        <v>5</v>
      </c>
      <c r="L17" s="4">
        <v>4.666666666666667</v>
      </c>
      <c r="M17" s="4">
        <v>3.3333333333333335</v>
      </c>
      <c r="N17" s="4">
        <v>3</v>
      </c>
      <c r="O17" s="4">
        <v>3</v>
      </c>
      <c r="P17" s="4">
        <v>3.5</v>
      </c>
    </row>
    <row r="18" spans="1:16" x14ac:dyDescent="0.25">
      <c r="A18" s="1">
        <f>ROUNDUP(vhodni_podatki[[#This Row],[Mesec]]/3, 0)</f>
        <v>2</v>
      </c>
      <c r="B18" s="1" t="s">
        <v>5</v>
      </c>
      <c r="C18">
        <v>5</v>
      </c>
      <c r="D18">
        <v>2246</v>
      </c>
      <c r="E18">
        <v>6</v>
      </c>
      <c r="F18">
        <f>vhodni_podatki[[#This Row],[Povprečna nočitev (noči)]]*vhodni_podatki[[#This Row],[Št. turistov]]</f>
        <v>13476</v>
      </c>
      <c r="K18" s="3" t="s">
        <v>6</v>
      </c>
      <c r="L18" s="4">
        <v>5</v>
      </c>
      <c r="M18" s="4">
        <v>3.3333333333333335</v>
      </c>
      <c r="N18" s="4">
        <v>4.666666666666667</v>
      </c>
      <c r="O18" s="4">
        <v>4</v>
      </c>
      <c r="P18" s="4">
        <v>4.25</v>
      </c>
    </row>
    <row r="19" spans="1:16" x14ac:dyDescent="0.25">
      <c r="A19" s="1">
        <f>ROUNDUP(vhodni_podatki[[#This Row],[Mesec]]/3, 0)</f>
        <v>2</v>
      </c>
      <c r="B19" s="1" t="s">
        <v>5</v>
      </c>
      <c r="C19">
        <v>6</v>
      </c>
      <c r="D19">
        <v>205</v>
      </c>
      <c r="E19">
        <v>1</v>
      </c>
      <c r="F19">
        <f>vhodni_podatki[[#This Row],[Povprečna nočitev (noči)]]*vhodni_podatki[[#This Row],[Št. turistov]]</f>
        <v>205</v>
      </c>
      <c r="K19" s="3" t="s">
        <v>13</v>
      </c>
      <c r="L19" s="4">
        <v>4.2222222222222223</v>
      </c>
      <c r="M19" s="4">
        <v>3.7777777777777777</v>
      </c>
      <c r="N19" s="4">
        <v>3.8333333333333335</v>
      </c>
      <c r="O19" s="4">
        <v>3.3888888888888888</v>
      </c>
      <c r="P19" s="4">
        <v>3.8055555555555554</v>
      </c>
    </row>
    <row r="20" spans="1:16" x14ac:dyDescent="0.25">
      <c r="A20" s="1">
        <f>ROUNDUP(vhodni_podatki[[#This Row],[Mesec]]/3, 0)</f>
        <v>3</v>
      </c>
      <c r="B20" s="1" t="s">
        <v>5</v>
      </c>
      <c r="C20">
        <v>7</v>
      </c>
      <c r="D20">
        <v>2896</v>
      </c>
      <c r="E20">
        <v>4</v>
      </c>
      <c r="F20">
        <f>vhodni_podatki[[#This Row],[Povprečna nočitev (noči)]]*vhodni_podatki[[#This Row],[Št. turistov]]</f>
        <v>11584</v>
      </c>
    </row>
    <row r="21" spans="1:16" x14ac:dyDescent="0.25">
      <c r="A21" s="1">
        <f>ROUNDUP(vhodni_podatki[[#This Row],[Mesec]]/3, 0)</f>
        <v>3</v>
      </c>
      <c r="B21" s="1" t="s">
        <v>5</v>
      </c>
      <c r="C21">
        <v>8</v>
      </c>
      <c r="D21">
        <v>4006</v>
      </c>
      <c r="E21">
        <v>1</v>
      </c>
      <c r="F21">
        <f>vhodni_podatki[[#This Row],[Povprečna nočitev (noči)]]*vhodni_podatki[[#This Row],[Št. turistov]]</f>
        <v>4006</v>
      </c>
    </row>
    <row r="22" spans="1:16" x14ac:dyDescent="0.25">
      <c r="A22" s="1">
        <f>ROUNDUP(vhodni_podatki[[#This Row],[Mesec]]/3, 0)</f>
        <v>3</v>
      </c>
      <c r="B22" s="1" t="s">
        <v>5</v>
      </c>
      <c r="C22">
        <v>9</v>
      </c>
      <c r="D22">
        <v>3002</v>
      </c>
      <c r="E22">
        <v>4</v>
      </c>
      <c r="F22">
        <f>vhodni_podatki[[#This Row],[Povprečna nočitev (noči)]]*vhodni_podatki[[#This Row],[Št. turistov]]</f>
        <v>12008</v>
      </c>
    </row>
    <row r="23" spans="1:16" x14ac:dyDescent="0.25">
      <c r="A23" s="1">
        <f>ROUNDUP(vhodni_podatki[[#This Row],[Mesec]]/3, 0)</f>
        <v>4</v>
      </c>
      <c r="B23" s="1" t="s">
        <v>5</v>
      </c>
      <c r="C23">
        <v>10</v>
      </c>
      <c r="D23">
        <v>1254</v>
      </c>
      <c r="E23">
        <v>1</v>
      </c>
      <c r="F23">
        <f>vhodni_podatki[[#This Row],[Povprečna nočitev (noči)]]*vhodni_podatki[[#This Row],[Št. turistov]]</f>
        <v>1254</v>
      </c>
    </row>
    <row r="24" spans="1:16" x14ac:dyDescent="0.25">
      <c r="A24" s="1">
        <f>ROUNDUP(vhodni_podatki[[#This Row],[Mesec]]/3, 0)</f>
        <v>4</v>
      </c>
      <c r="B24" s="1" t="s">
        <v>5</v>
      </c>
      <c r="C24">
        <v>11</v>
      </c>
      <c r="D24">
        <v>1610</v>
      </c>
      <c r="E24">
        <v>5</v>
      </c>
      <c r="F24">
        <f>vhodni_podatki[[#This Row],[Povprečna nočitev (noči)]]*vhodni_podatki[[#This Row],[Št. turistov]]</f>
        <v>8050</v>
      </c>
    </row>
    <row r="25" spans="1:16" x14ac:dyDescent="0.25">
      <c r="A25" s="1">
        <f>ROUNDUP(vhodni_podatki[[#This Row],[Mesec]]/3, 0)</f>
        <v>4</v>
      </c>
      <c r="B25" s="1" t="s">
        <v>5</v>
      </c>
      <c r="C25">
        <v>12</v>
      </c>
      <c r="D25">
        <v>1480</v>
      </c>
      <c r="E25">
        <v>3</v>
      </c>
      <c r="F25">
        <f>vhodni_podatki[[#This Row],[Povprečna nočitev (noči)]]*vhodni_podatki[[#This Row],[Št. turistov]]</f>
        <v>4440</v>
      </c>
    </row>
    <row r="26" spans="1:16" x14ac:dyDescent="0.25">
      <c r="A26" s="1">
        <f>ROUNDUP(vhodni_podatki[[#This Row],[Mesec]]/3, 0)</f>
        <v>1</v>
      </c>
      <c r="B26" s="1" t="s">
        <v>6</v>
      </c>
      <c r="C26">
        <v>1</v>
      </c>
      <c r="D26">
        <v>1304</v>
      </c>
      <c r="E26">
        <v>6</v>
      </c>
      <c r="F26">
        <f>vhodni_podatki[[#This Row],[Povprečna nočitev (noči)]]*vhodni_podatki[[#This Row],[Št. turistov]]</f>
        <v>7824</v>
      </c>
    </row>
    <row r="27" spans="1:16" x14ac:dyDescent="0.25">
      <c r="A27" s="1">
        <f>ROUNDUP(vhodni_podatki[[#This Row],[Mesec]]/3, 0)</f>
        <v>1</v>
      </c>
      <c r="B27" s="1" t="s">
        <v>6</v>
      </c>
      <c r="C27">
        <v>2</v>
      </c>
      <c r="D27">
        <v>2613</v>
      </c>
      <c r="E27">
        <v>5</v>
      </c>
      <c r="F27">
        <f>vhodni_podatki[[#This Row],[Povprečna nočitev (noči)]]*vhodni_podatki[[#This Row],[Št. turistov]]</f>
        <v>13065</v>
      </c>
    </row>
    <row r="28" spans="1:16" x14ac:dyDescent="0.25">
      <c r="A28" s="1">
        <f>ROUNDUP(vhodni_podatki[[#This Row],[Mesec]]/3, 0)</f>
        <v>1</v>
      </c>
      <c r="B28" s="1" t="s">
        <v>6</v>
      </c>
      <c r="C28">
        <v>3</v>
      </c>
      <c r="D28">
        <v>2662</v>
      </c>
      <c r="E28">
        <v>4</v>
      </c>
      <c r="F28">
        <f>vhodni_podatki[[#This Row],[Povprečna nočitev (noči)]]*vhodni_podatki[[#This Row],[Št. turistov]]</f>
        <v>10648</v>
      </c>
    </row>
    <row r="29" spans="1:16" x14ac:dyDescent="0.25">
      <c r="A29" s="1">
        <f>ROUNDUP(vhodni_podatki[[#This Row],[Mesec]]/3, 0)</f>
        <v>2</v>
      </c>
      <c r="B29" s="1" t="s">
        <v>6</v>
      </c>
      <c r="C29">
        <v>4</v>
      </c>
      <c r="D29">
        <v>3674</v>
      </c>
      <c r="E29">
        <v>6</v>
      </c>
      <c r="F29">
        <f>vhodni_podatki[[#This Row],[Povprečna nočitev (noči)]]*vhodni_podatki[[#This Row],[Št. turistov]]</f>
        <v>22044</v>
      </c>
    </row>
    <row r="30" spans="1:16" x14ac:dyDescent="0.25">
      <c r="A30" s="1">
        <f>ROUNDUP(vhodni_podatki[[#This Row],[Mesec]]/3, 0)</f>
        <v>2</v>
      </c>
      <c r="B30" s="1" t="s">
        <v>6</v>
      </c>
      <c r="C30">
        <v>5</v>
      </c>
      <c r="D30">
        <v>1719</v>
      </c>
      <c r="E30">
        <v>2</v>
      </c>
      <c r="F30">
        <f>vhodni_podatki[[#This Row],[Povprečna nočitev (noči)]]*vhodni_podatki[[#This Row],[Št. turistov]]</f>
        <v>3438</v>
      </c>
    </row>
    <row r="31" spans="1:16" x14ac:dyDescent="0.25">
      <c r="A31" s="1">
        <f>ROUNDUP(vhodni_podatki[[#This Row],[Mesec]]/3, 0)</f>
        <v>2</v>
      </c>
      <c r="B31" s="1" t="s">
        <v>6</v>
      </c>
      <c r="C31">
        <v>6</v>
      </c>
      <c r="D31">
        <v>3538</v>
      </c>
      <c r="E31">
        <v>2</v>
      </c>
      <c r="F31">
        <f>vhodni_podatki[[#This Row],[Povprečna nočitev (noči)]]*vhodni_podatki[[#This Row],[Št. turistov]]</f>
        <v>7076</v>
      </c>
    </row>
    <row r="32" spans="1:16" x14ac:dyDescent="0.25">
      <c r="A32" s="1">
        <f>ROUNDUP(vhodni_podatki[[#This Row],[Mesec]]/3, 0)</f>
        <v>3</v>
      </c>
      <c r="B32" s="1" t="s">
        <v>6</v>
      </c>
      <c r="C32">
        <v>7</v>
      </c>
      <c r="D32">
        <v>3492</v>
      </c>
      <c r="E32">
        <v>4</v>
      </c>
      <c r="F32">
        <f>vhodni_podatki[[#This Row],[Povprečna nočitev (noči)]]*vhodni_podatki[[#This Row],[Št. turistov]]</f>
        <v>13968</v>
      </c>
    </row>
    <row r="33" spans="1:6" x14ac:dyDescent="0.25">
      <c r="A33" s="1">
        <f>ROUNDUP(vhodni_podatki[[#This Row],[Mesec]]/3, 0)</f>
        <v>3</v>
      </c>
      <c r="B33" s="1" t="s">
        <v>6</v>
      </c>
      <c r="C33">
        <v>8</v>
      </c>
      <c r="D33">
        <v>204</v>
      </c>
      <c r="E33">
        <v>6</v>
      </c>
      <c r="F33">
        <f>vhodni_podatki[[#This Row],[Povprečna nočitev (noči)]]*vhodni_podatki[[#This Row],[Št. turistov]]</f>
        <v>1224</v>
      </c>
    </row>
    <row r="34" spans="1:6" x14ac:dyDescent="0.25">
      <c r="A34" s="1">
        <f>ROUNDUP(vhodni_podatki[[#This Row],[Mesec]]/3, 0)</f>
        <v>3</v>
      </c>
      <c r="B34" s="1" t="s">
        <v>6</v>
      </c>
      <c r="C34">
        <v>9</v>
      </c>
      <c r="D34">
        <v>4846</v>
      </c>
      <c r="E34">
        <v>4</v>
      </c>
      <c r="F34">
        <f>vhodni_podatki[[#This Row],[Povprečna nočitev (noči)]]*vhodni_podatki[[#This Row],[Št. turistov]]</f>
        <v>19384</v>
      </c>
    </row>
    <row r="35" spans="1:6" x14ac:dyDescent="0.25">
      <c r="A35" s="1">
        <f>ROUNDUP(vhodni_podatki[[#This Row],[Mesec]]/3, 0)</f>
        <v>4</v>
      </c>
      <c r="B35" s="1" t="s">
        <v>6</v>
      </c>
      <c r="C35">
        <v>10</v>
      </c>
      <c r="D35">
        <v>931</v>
      </c>
      <c r="E35">
        <v>4</v>
      </c>
      <c r="F35">
        <f>vhodni_podatki[[#This Row],[Povprečna nočitev (noči)]]*vhodni_podatki[[#This Row],[Št. turistov]]</f>
        <v>3724</v>
      </c>
    </row>
    <row r="36" spans="1:6" x14ac:dyDescent="0.25">
      <c r="A36" s="1">
        <f>ROUNDUP(vhodni_podatki[[#This Row],[Mesec]]/3, 0)</f>
        <v>4</v>
      </c>
      <c r="B36" s="1" t="s">
        <v>6</v>
      </c>
      <c r="C36">
        <v>11</v>
      </c>
      <c r="D36">
        <v>3142</v>
      </c>
      <c r="E36">
        <v>3</v>
      </c>
      <c r="F36">
        <f>vhodni_podatki[[#This Row],[Povprečna nočitev (noči)]]*vhodni_podatki[[#This Row],[Št. turistov]]</f>
        <v>9426</v>
      </c>
    </row>
    <row r="37" spans="1:6" x14ac:dyDescent="0.25">
      <c r="A37" s="1">
        <f>ROUNDUP(vhodni_podatki[[#This Row],[Mesec]]/3, 0)</f>
        <v>4</v>
      </c>
      <c r="B37" s="1" t="s">
        <v>6</v>
      </c>
      <c r="C37">
        <v>12</v>
      </c>
      <c r="D37">
        <v>141</v>
      </c>
      <c r="E37">
        <v>5</v>
      </c>
      <c r="F37">
        <f>vhodni_podatki[[#This Row],[Povprečna nočitev (noči)]]*vhodni_podatki[[#This Row],[Št. turistov]]</f>
        <v>705</v>
      </c>
    </row>
    <row r="38" spans="1:6" x14ac:dyDescent="0.25">
      <c r="A38" s="1">
        <f>ROUNDUP(vhodni_podatki[[#This Row],[Mesec]]/3, 0)</f>
        <v>1</v>
      </c>
      <c r="B38" s="1" t="s">
        <v>7</v>
      </c>
      <c r="C38">
        <v>1</v>
      </c>
      <c r="D38">
        <v>188</v>
      </c>
      <c r="E38">
        <v>2</v>
      </c>
      <c r="F38">
        <f>vhodni_podatki[[#This Row],[Povprečna nočitev (noči)]]*vhodni_podatki[[#This Row],[Št. turistov]]</f>
        <v>376</v>
      </c>
    </row>
    <row r="39" spans="1:6" x14ac:dyDescent="0.25">
      <c r="A39" s="1">
        <f>ROUNDUP(vhodni_podatki[[#This Row],[Mesec]]/3, 0)</f>
        <v>1</v>
      </c>
      <c r="B39" s="1" t="s">
        <v>7</v>
      </c>
      <c r="C39">
        <v>2</v>
      </c>
      <c r="D39">
        <v>2772</v>
      </c>
      <c r="E39">
        <v>4</v>
      </c>
      <c r="F39">
        <f>vhodni_podatki[[#This Row],[Povprečna nočitev (noči)]]*vhodni_podatki[[#This Row],[Št. turistov]]</f>
        <v>11088</v>
      </c>
    </row>
    <row r="40" spans="1:6" x14ac:dyDescent="0.25">
      <c r="A40" s="1">
        <f>ROUNDUP(vhodni_podatki[[#This Row],[Mesec]]/3, 0)</f>
        <v>1</v>
      </c>
      <c r="B40" s="1" t="s">
        <v>7</v>
      </c>
      <c r="C40">
        <v>3</v>
      </c>
      <c r="D40">
        <v>3397</v>
      </c>
      <c r="E40">
        <v>4</v>
      </c>
      <c r="F40">
        <f>vhodni_podatki[[#This Row],[Povprečna nočitev (noči)]]*vhodni_podatki[[#This Row],[Št. turistov]]</f>
        <v>13588</v>
      </c>
    </row>
    <row r="41" spans="1:6" x14ac:dyDescent="0.25">
      <c r="A41" s="1">
        <f>ROUNDUP(vhodni_podatki[[#This Row],[Mesec]]/3, 0)</f>
        <v>2</v>
      </c>
      <c r="B41" s="1" t="s">
        <v>7</v>
      </c>
      <c r="C41">
        <v>4</v>
      </c>
      <c r="D41">
        <v>4032</v>
      </c>
      <c r="E41">
        <v>6</v>
      </c>
      <c r="F41">
        <f>vhodni_podatki[[#This Row],[Povprečna nočitev (noči)]]*vhodni_podatki[[#This Row],[Št. turistov]]</f>
        <v>24192</v>
      </c>
    </row>
    <row r="42" spans="1:6" x14ac:dyDescent="0.25">
      <c r="A42" s="1">
        <f>ROUNDUP(vhodni_podatki[[#This Row],[Mesec]]/3, 0)</f>
        <v>2</v>
      </c>
      <c r="B42" s="1" t="s">
        <v>7</v>
      </c>
      <c r="C42">
        <v>5</v>
      </c>
      <c r="D42">
        <v>2705</v>
      </c>
      <c r="E42">
        <v>3</v>
      </c>
      <c r="F42">
        <f>vhodni_podatki[[#This Row],[Povprečna nočitev (noči)]]*vhodni_podatki[[#This Row],[Št. turistov]]</f>
        <v>8115</v>
      </c>
    </row>
    <row r="43" spans="1:6" x14ac:dyDescent="0.25">
      <c r="A43" s="1">
        <f>ROUNDUP(vhodni_podatki[[#This Row],[Mesec]]/3, 0)</f>
        <v>2</v>
      </c>
      <c r="B43" s="1" t="s">
        <v>7</v>
      </c>
      <c r="C43">
        <v>6</v>
      </c>
      <c r="D43">
        <v>1560</v>
      </c>
      <c r="E43">
        <v>3</v>
      </c>
      <c r="F43">
        <f>vhodni_podatki[[#This Row],[Povprečna nočitev (noči)]]*vhodni_podatki[[#This Row],[Št. turistov]]</f>
        <v>4680</v>
      </c>
    </row>
    <row r="44" spans="1:6" x14ac:dyDescent="0.25">
      <c r="A44" s="1">
        <f>ROUNDUP(vhodni_podatki[[#This Row],[Mesec]]/3, 0)</f>
        <v>3</v>
      </c>
      <c r="B44" s="1" t="s">
        <v>7</v>
      </c>
      <c r="C44">
        <v>7</v>
      </c>
      <c r="D44">
        <v>1964</v>
      </c>
      <c r="E44">
        <v>3</v>
      </c>
      <c r="F44">
        <f>vhodni_podatki[[#This Row],[Povprečna nočitev (noči)]]*vhodni_podatki[[#This Row],[Št. turistov]]</f>
        <v>5892</v>
      </c>
    </row>
    <row r="45" spans="1:6" x14ac:dyDescent="0.25">
      <c r="A45" s="1">
        <f>ROUNDUP(vhodni_podatki[[#This Row],[Mesec]]/3, 0)</f>
        <v>3</v>
      </c>
      <c r="B45" s="1" t="s">
        <v>7</v>
      </c>
      <c r="C45">
        <v>8</v>
      </c>
      <c r="D45">
        <v>1161</v>
      </c>
      <c r="E45">
        <v>4</v>
      </c>
      <c r="F45">
        <f>vhodni_podatki[[#This Row],[Povprečna nočitev (noči)]]*vhodni_podatki[[#This Row],[Št. turistov]]</f>
        <v>4644</v>
      </c>
    </row>
    <row r="46" spans="1:6" x14ac:dyDescent="0.25">
      <c r="A46" s="1">
        <f>ROUNDUP(vhodni_podatki[[#This Row],[Mesec]]/3, 0)</f>
        <v>3</v>
      </c>
      <c r="B46" s="1" t="s">
        <v>7</v>
      </c>
      <c r="C46">
        <v>9</v>
      </c>
      <c r="D46">
        <v>1088</v>
      </c>
      <c r="E46">
        <v>6</v>
      </c>
      <c r="F46">
        <f>vhodni_podatki[[#This Row],[Povprečna nočitev (noči)]]*vhodni_podatki[[#This Row],[Št. turistov]]</f>
        <v>6528</v>
      </c>
    </row>
    <row r="47" spans="1:6" x14ac:dyDescent="0.25">
      <c r="A47" s="1">
        <f>ROUNDUP(vhodni_podatki[[#This Row],[Mesec]]/3, 0)</f>
        <v>4</v>
      </c>
      <c r="B47" s="1" t="s">
        <v>7</v>
      </c>
      <c r="C47">
        <v>10</v>
      </c>
      <c r="D47">
        <v>3432</v>
      </c>
      <c r="E47">
        <v>4</v>
      </c>
      <c r="F47">
        <f>vhodni_podatki[[#This Row],[Povprečna nočitev (noči)]]*vhodni_podatki[[#This Row],[Št. turistov]]</f>
        <v>13728</v>
      </c>
    </row>
    <row r="48" spans="1:6" x14ac:dyDescent="0.25">
      <c r="A48" s="1">
        <f>ROUNDUP(vhodni_podatki[[#This Row],[Mesec]]/3, 0)</f>
        <v>4</v>
      </c>
      <c r="B48" s="1" t="s">
        <v>7</v>
      </c>
      <c r="C48">
        <v>11</v>
      </c>
      <c r="D48">
        <v>2033</v>
      </c>
      <c r="E48">
        <v>1</v>
      </c>
      <c r="F48">
        <f>vhodni_podatki[[#This Row],[Povprečna nočitev (noči)]]*vhodni_podatki[[#This Row],[Št. turistov]]</f>
        <v>2033</v>
      </c>
    </row>
    <row r="49" spans="1:6" x14ac:dyDescent="0.25">
      <c r="A49" s="1">
        <f>ROUNDUP(vhodni_podatki[[#This Row],[Mesec]]/3, 0)</f>
        <v>4</v>
      </c>
      <c r="B49" s="1" t="s">
        <v>7</v>
      </c>
      <c r="C49">
        <v>12</v>
      </c>
      <c r="D49">
        <v>805</v>
      </c>
      <c r="E49">
        <v>2</v>
      </c>
      <c r="F49">
        <f>vhodni_podatki[[#This Row],[Povprečna nočitev (noči)]]*vhodni_podatki[[#This Row],[Št. turistov]]</f>
        <v>1610</v>
      </c>
    </row>
    <row r="50" spans="1:6" x14ac:dyDescent="0.25">
      <c r="A50" s="1">
        <f>ROUNDUP(vhodni_podatki[[#This Row],[Mesec]]/3, 0)</f>
        <v>1</v>
      </c>
      <c r="B50" s="1" t="s">
        <v>8</v>
      </c>
      <c r="C50">
        <v>1</v>
      </c>
      <c r="D50">
        <v>1827</v>
      </c>
      <c r="E50">
        <v>5</v>
      </c>
      <c r="F50">
        <f>vhodni_podatki[[#This Row],[Povprečna nočitev (noči)]]*vhodni_podatki[[#This Row],[Št. turistov]]</f>
        <v>9135</v>
      </c>
    </row>
    <row r="51" spans="1:6" x14ac:dyDescent="0.25">
      <c r="A51" s="1">
        <f>ROUNDUP(vhodni_podatki[[#This Row],[Mesec]]/3, 0)</f>
        <v>1</v>
      </c>
      <c r="B51" s="1" t="s">
        <v>8</v>
      </c>
      <c r="C51">
        <v>2</v>
      </c>
      <c r="D51">
        <v>2214</v>
      </c>
      <c r="E51">
        <v>1</v>
      </c>
      <c r="F51">
        <f>vhodni_podatki[[#This Row],[Povprečna nočitev (noči)]]*vhodni_podatki[[#This Row],[Št. turistov]]</f>
        <v>2214</v>
      </c>
    </row>
    <row r="52" spans="1:6" x14ac:dyDescent="0.25">
      <c r="A52" s="1">
        <f>ROUNDUP(vhodni_podatki[[#This Row],[Mesec]]/3, 0)</f>
        <v>1</v>
      </c>
      <c r="B52" s="1" t="s">
        <v>8</v>
      </c>
      <c r="C52">
        <v>3</v>
      </c>
      <c r="D52">
        <v>1042</v>
      </c>
      <c r="E52">
        <v>4</v>
      </c>
      <c r="F52">
        <f>vhodni_podatki[[#This Row],[Povprečna nočitev (noči)]]*vhodni_podatki[[#This Row],[Št. turistov]]</f>
        <v>4168</v>
      </c>
    </row>
    <row r="53" spans="1:6" x14ac:dyDescent="0.25">
      <c r="A53" s="1">
        <f>ROUNDUP(vhodni_podatki[[#This Row],[Mesec]]/3, 0)</f>
        <v>2</v>
      </c>
      <c r="B53" s="1" t="s">
        <v>8</v>
      </c>
      <c r="C53">
        <v>4</v>
      </c>
      <c r="D53">
        <v>2933</v>
      </c>
      <c r="E53">
        <v>2</v>
      </c>
      <c r="F53">
        <f>vhodni_podatki[[#This Row],[Povprečna nočitev (noči)]]*vhodni_podatki[[#This Row],[Št. turistov]]</f>
        <v>5866</v>
      </c>
    </row>
    <row r="54" spans="1:6" x14ac:dyDescent="0.25">
      <c r="A54" s="1">
        <f>ROUNDUP(vhodni_podatki[[#This Row],[Mesec]]/3, 0)</f>
        <v>2</v>
      </c>
      <c r="B54" s="1" t="s">
        <v>8</v>
      </c>
      <c r="C54">
        <v>5</v>
      </c>
      <c r="D54">
        <v>3655</v>
      </c>
      <c r="E54">
        <v>4</v>
      </c>
      <c r="F54">
        <f>vhodni_podatki[[#This Row],[Povprečna nočitev (noči)]]*vhodni_podatki[[#This Row],[Št. turistov]]</f>
        <v>14620</v>
      </c>
    </row>
    <row r="55" spans="1:6" x14ac:dyDescent="0.25">
      <c r="A55" s="1">
        <f>ROUNDUP(vhodni_podatki[[#This Row],[Mesec]]/3, 0)</f>
        <v>2</v>
      </c>
      <c r="B55" s="1" t="s">
        <v>8</v>
      </c>
      <c r="C55">
        <v>6</v>
      </c>
      <c r="D55">
        <v>4774</v>
      </c>
      <c r="E55">
        <v>1</v>
      </c>
      <c r="F55">
        <f>vhodni_podatki[[#This Row],[Povprečna nočitev (noči)]]*vhodni_podatki[[#This Row],[Št. turistov]]</f>
        <v>4774</v>
      </c>
    </row>
    <row r="56" spans="1:6" x14ac:dyDescent="0.25">
      <c r="A56" s="1">
        <f>ROUNDUP(vhodni_podatki[[#This Row],[Mesec]]/3, 0)</f>
        <v>3</v>
      </c>
      <c r="B56" s="1" t="s">
        <v>8</v>
      </c>
      <c r="C56">
        <v>7</v>
      </c>
      <c r="D56">
        <v>1443</v>
      </c>
      <c r="E56">
        <v>3</v>
      </c>
      <c r="F56">
        <f>vhodni_podatki[[#This Row],[Povprečna nočitev (noči)]]*vhodni_podatki[[#This Row],[Št. turistov]]</f>
        <v>4329</v>
      </c>
    </row>
    <row r="57" spans="1:6" x14ac:dyDescent="0.25">
      <c r="A57" s="1">
        <f>ROUNDUP(vhodni_podatki[[#This Row],[Mesec]]/3, 0)</f>
        <v>3</v>
      </c>
      <c r="B57" s="1" t="s">
        <v>8</v>
      </c>
      <c r="C57">
        <v>8</v>
      </c>
      <c r="D57">
        <v>722</v>
      </c>
      <c r="E57">
        <v>2</v>
      </c>
      <c r="F57">
        <f>vhodni_podatki[[#This Row],[Povprečna nočitev (noči)]]*vhodni_podatki[[#This Row],[Št. turistov]]</f>
        <v>1444</v>
      </c>
    </row>
    <row r="58" spans="1:6" x14ac:dyDescent="0.25">
      <c r="A58" s="1">
        <f>ROUNDUP(vhodni_podatki[[#This Row],[Mesec]]/3, 0)</f>
        <v>3</v>
      </c>
      <c r="B58" s="1" t="s">
        <v>8</v>
      </c>
      <c r="C58">
        <v>9</v>
      </c>
      <c r="D58">
        <v>2038</v>
      </c>
      <c r="E58">
        <v>4</v>
      </c>
      <c r="F58">
        <f>vhodni_podatki[[#This Row],[Povprečna nočitev (noči)]]*vhodni_podatki[[#This Row],[Št. turistov]]</f>
        <v>8152</v>
      </c>
    </row>
    <row r="59" spans="1:6" x14ac:dyDescent="0.25">
      <c r="A59" s="1">
        <f>ROUNDUP(vhodni_podatki[[#This Row],[Mesec]]/3, 0)</f>
        <v>4</v>
      </c>
      <c r="B59" s="1" t="s">
        <v>8</v>
      </c>
      <c r="C59">
        <v>10</v>
      </c>
      <c r="D59">
        <v>633</v>
      </c>
      <c r="E59">
        <v>6</v>
      </c>
      <c r="F59">
        <f>vhodni_podatki[[#This Row],[Povprečna nočitev (noči)]]*vhodni_podatki[[#This Row],[Št. turistov]]</f>
        <v>3798</v>
      </c>
    </row>
    <row r="60" spans="1:6" x14ac:dyDescent="0.25">
      <c r="A60" s="1">
        <f>ROUNDUP(vhodni_podatki[[#This Row],[Mesec]]/3, 0)</f>
        <v>4</v>
      </c>
      <c r="B60" s="1" t="s">
        <v>8</v>
      </c>
      <c r="C60">
        <v>11</v>
      </c>
      <c r="D60">
        <v>2759</v>
      </c>
      <c r="E60">
        <v>2</v>
      </c>
      <c r="F60">
        <f>vhodni_podatki[[#This Row],[Povprečna nočitev (noči)]]*vhodni_podatki[[#This Row],[Št. turistov]]</f>
        <v>5518</v>
      </c>
    </row>
    <row r="61" spans="1:6" x14ac:dyDescent="0.25">
      <c r="A61" s="1">
        <f>ROUNDUP(vhodni_podatki[[#This Row],[Mesec]]/3, 0)</f>
        <v>4</v>
      </c>
      <c r="B61" s="1" t="s">
        <v>8</v>
      </c>
      <c r="C61">
        <v>12</v>
      </c>
      <c r="D61">
        <v>1592</v>
      </c>
      <c r="E61">
        <v>5</v>
      </c>
      <c r="F61">
        <f>vhodni_podatki[[#This Row],[Povprečna nočitev (noči)]]*vhodni_podatki[[#This Row],[Št. turistov]]</f>
        <v>7960</v>
      </c>
    </row>
    <row r="62" spans="1:6" x14ac:dyDescent="0.25">
      <c r="A62" s="1">
        <f>ROUNDUP(vhodni_podatki[[#This Row],[Mesec]]/3, 0)</f>
        <v>1</v>
      </c>
      <c r="B62" s="1" t="s">
        <v>9</v>
      </c>
      <c r="C62">
        <v>1</v>
      </c>
      <c r="D62">
        <v>3117</v>
      </c>
      <c r="E62">
        <v>4</v>
      </c>
      <c r="F62">
        <f>vhodni_podatki[[#This Row],[Povprečna nočitev (noči)]]*vhodni_podatki[[#This Row],[Št. turistov]]</f>
        <v>12468</v>
      </c>
    </row>
    <row r="63" spans="1:6" x14ac:dyDescent="0.25">
      <c r="A63" s="1">
        <f>ROUNDUP(vhodni_podatki[[#This Row],[Mesec]]/3, 0)</f>
        <v>1</v>
      </c>
      <c r="B63" s="1" t="s">
        <v>9</v>
      </c>
      <c r="C63">
        <v>2</v>
      </c>
      <c r="D63">
        <v>434</v>
      </c>
      <c r="E63">
        <v>5</v>
      </c>
      <c r="F63">
        <f>vhodni_podatki[[#This Row],[Povprečna nočitev (noči)]]*vhodni_podatki[[#This Row],[Št. turistov]]</f>
        <v>2170</v>
      </c>
    </row>
    <row r="64" spans="1:6" x14ac:dyDescent="0.25">
      <c r="A64" s="1">
        <f>ROUNDUP(vhodni_podatki[[#This Row],[Mesec]]/3, 0)</f>
        <v>1</v>
      </c>
      <c r="B64" s="1" t="s">
        <v>9</v>
      </c>
      <c r="C64">
        <v>3</v>
      </c>
      <c r="D64">
        <v>4216</v>
      </c>
      <c r="E64">
        <v>2</v>
      </c>
      <c r="F64">
        <f>vhodni_podatki[[#This Row],[Povprečna nočitev (noči)]]*vhodni_podatki[[#This Row],[Št. turistov]]</f>
        <v>8432</v>
      </c>
    </row>
    <row r="65" spans="1:6" x14ac:dyDescent="0.25">
      <c r="A65" s="1">
        <f>ROUNDUP(vhodni_podatki[[#This Row],[Mesec]]/3, 0)</f>
        <v>2</v>
      </c>
      <c r="B65" s="1" t="s">
        <v>9</v>
      </c>
      <c r="C65">
        <v>4</v>
      </c>
      <c r="D65">
        <v>1074</v>
      </c>
      <c r="E65">
        <v>5</v>
      </c>
      <c r="F65">
        <f>vhodni_podatki[[#This Row],[Povprečna nočitev (noči)]]*vhodni_podatki[[#This Row],[Št. turistov]]</f>
        <v>5370</v>
      </c>
    </row>
    <row r="66" spans="1:6" x14ac:dyDescent="0.25">
      <c r="A66" s="1">
        <f>ROUNDUP(vhodni_podatki[[#This Row],[Mesec]]/3, 0)</f>
        <v>2</v>
      </c>
      <c r="B66" s="1" t="s">
        <v>9</v>
      </c>
      <c r="C66">
        <v>5</v>
      </c>
      <c r="D66">
        <v>3323</v>
      </c>
      <c r="E66">
        <v>4</v>
      </c>
      <c r="F66">
        <f>vhodni_podatki[[#This Row],[Povprečna nočitev (noči)]]*vhodni_podatki[[#This Row],[Št. turistov]]</f>
        <v>13292</v>
      </c>
    </row>
    <row r="67" spans="1:6" x14ac:dyDescent="0.25">
      <c r="A67" s="1">
        <f>ROUNDUP(vhodni_podatki[[#This Row],[Mesec]]/3, 0)</f>
        <v>2</v>
      </c>
      <c r="B67" s="1" t="s">
        <v>9</v>
      </c>
      <c r="C67">
        <v>6</v>
      </c>
      <c r="D67">
        <v>4546</v>
      </c>
      <c r="E67">
        <v>6</v>
      </c>
      <c r="F67">
        <f>vhodni_podatki[[#This Row],[Povprečna nočitev (noči)]]*vhodni_podatki[[#This Row],[Št. turistov]]</f>
        <v>27276</v>
      </c>
    </row>
    <row r="68" spans="1:6" x14ac:dyDescent="0.25">
      <c r="A68" s="1">
        <f>ROUNDUP(vhodni_podatki[[#This Row],[Mesec]]/3, 0)</f>
        <v>3</v>
      </c>
      <c r="B68" s="1" t="s">
        <v>9</v>
      </c>
      <c r="C68">
        <v>7</v>
      </c>
      <c r="D68">
        <v>3369</v>
      </c>
      <c r="E68">
        <v>3</v>
      </c>
      <c r="F68">
        <f>vhodni_podatki[[#This Row],[Povprečna nočitev (noči)]]*vhodni_podatki[[#This Row],[Št. turistov]]</f>
        <v>10107</v>
      </c>
    </row>
    <row r="69" spans="1:6" x14ac:dyDescent="0.25">
      <c r="A69" s="1">
        <f>ROUNDUP(vhodni_podatki[[#This Row],[Mesec]]/3, 0)</f>
        <v>3</v>
      </c>
      <c r="B69" s="1" t="s">
        <v>9</v>
      </c>
      <c r="C69">
        <v>8</v>
      </c>
      <c r="D69">
        <v>3302</v>
      </c>
      <c r="E69">
        <v>1</v>
      </c>
      <c r="F69">
        <f>vhodni_podatki[[#This Row],[Povprečna nočitev (noči)]]*vhodni_podatki[[#This Row],[Št. turistov]]</f>
        <v>3302</v>
      </c>
    </row>
    <row r="70" spans="1:6" x14ac:dyDescent="0.25">
      <c r="A70" s="1">
        <f>ROUNDUP(vhodni_podatki[[#This Row],[Mesec]]/3, 0)</f>
        <v>3</v>
      </c>
      <c r="B70" s="1" t="s">
        <v>9</v>
      </c>
      <c r="C70">
        <v>9</v>
      </c>
      <c r="D70">
        <v>4900</v>
      </c>
      <c r="E70">
        <v>6</v>
      </c>
      <c r="F70">
        <f>vhodni_podatki[[#This Row],[Povprečna nočitev (noči)]]*vhodni_podatki[[#This Row],[Št. turistov]]</f>
        <v>29400</v>
      </c>
    </row>
    <row r="71" spans="1:6" x14ac:dyDescent="0.25">
      <c r="A71" s="1">
        <f>ROUNDUP(vhodni_podatki[[#This Row],[Mesec]]/3, 0)</f>
        <v>4</v>
      </c>
      <c r="B71" s="1" t="s">
        <v>9</v>
      </c>
      <c r="C71">
        <v>10</v>
      </c>
      <c r="D71">
        <v>4657</v>
      </c>
      <c r="E71">
        <v>4</v>
      </c>
      <c r="F71">
        <f>vhodni_podatki[[#This Row],[Povprečna nočitev (noči)]]*vhodni_podatki[[#This Row],[Št. turistov]]</f>
        <v>18628</v>
      </c>
    </row>
    <row r="72" spans="1:6" x14ac:dyDescent="0.25">
      <c r="A72" s="1">
        <f>ROUNDUP(vhodni_podatki[[#This Row],[Mesec]]/3, 0)</f>
        <v>4</v>
      </c>
      <c r="B72" s="1" t="s">
        <v>9</v>
      </c>
      <c r="C72">
        <v>11</v>
      </c>
      <c r="D72">
        <v>739</v>
      </c>
      <c r="E72">
        <v>1</v>
      </c>
      <c r="F72">
        <f>vhodni_podatki[[#This Row],[Povprečna nočitev (noči)]]*vhodni_podatki[[#This Row],[Št. turistov]]</f>
        <v>739</v>
      </c>
    </row>
    <row r="73" spans="1:6" x14ac:dyDescent="0.25">
      <c r="A73" s="1">
        <f>ROUNDUP(vhodni_podatki[[#This Row],[Mesec]]/3, 0)</f>
        <v>4</v>
      </c>
      <c r="B73" s="1" t="s">
        <v>9</v>
      </c>
      <c r="C73">
        <v>12</v>
      </c>
      <c r="D73">
        <v>2731</v>
      </c>
      <c r="E73">
        <v>5</v>
      </c>
      <c r="F73">
        <f>vhodni_podatki[[#This Row],[Povprečna nočitev (noči)]]*vhodni_podatki[[#This Row],[Št. turistov]]</f>
        <v>13655</v>
      </c>
    </row>
  </sheetData>
  <conditionalFormatting sqref="F2:F73">
    <cfRule type="expression" dxfId="29" priority="2">
      <formula>$F2&lt;500</formula>
    </cfRule>
    <cfRule type="expression" dxfId="28" priority="4">
      <formula>$F$2&lt;500</formula>
    </cfRule>
  </conditionalFormatting>
  <conditionalFormatting sqref="H10">
    <cfRule type="expression" dxfId="27" priority="3">
      <formula>$F2&lt;500</formula>
    </cfRule>
  </conditionalFormatting>
  <conditionalFormatting sqref="F2:F73">
    <cfRule type="expression" dxfId="26" priority="1">
      <formula>$F2&gt;1000</formula>
    </cfRule>
  </conditionalFormatting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1C03-B20F-4034-8E69-F511C26FB60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DBBB88-BA12-4035-A0B4-872A6616F1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vhodni-podatki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Pervinšek, Taja</dc:creator>
  <cp:lastModifiedBy>Taja Pervinšek</cp:lastModifiedBy>
  <dcterms:created xsi:type="dcterms:W3CDTF">2026-02-07T15:09:52Z</dcterms:created>
  <dcterms:modified xsi:type="dcterms:W3CDTF">2026-02-07T15:41:38Z</dcterms:modified>
</cp:coreProperties>
</file>